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edne\OneDrive\Desktop\Robot Stuff\Acoustic Localization Robot\"/>
    </mc:Choice>
  </mc:AlternateContent>
  <xr:revisionPtr revIDLastSave="0" documentId="8_{5F118095-21D2-4DCB-A91F-FD93B79C6618}" xr6:coauthVersionLast="47" xr6:coauthVersionMax="47" xr10:uidLastSave="{00000000-0000-0000-0000-000000000000}"/>
  <bookViews>
    <workbookView xWindow="-28920" yWindow="-1665" windowWidth="29040" windowHeight="15720" xr2:uid="{00000000-000D-0000-FFFF-FFFF00000000}"/>
  </bookViews>
  <sheets>
    <sheet name="BOM 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h7gHbyaJTM9suQigW8KIhhrk+UDmEhdSNVIkoNNlETk="/>
    </ext>
  </extLst>
</workbook>
</file>

<file path=xl/calcChain.xml><?xml version="1.0" encoding="utf-8"?>
<calcChain xmlns="http://schemas.openxmlformats.org/spreadsheetml/2006/main">
  <c r="H43" i="1" l="1"/>
  <c r="H42" i="1"/>
  <c r="H41" i="1"/>
  <c r="H40" i="1"/>
  <c r="H39" i="1"/>
  <c r="H38" i="1"/>
  <c r="H37" i="1"/>
  <c r="H36" i="1"/>
  <c r="H35" i="1"/>
  <c r="H34" i="1"/>
  <c r="H33" i="1"/>
  <c r="H32" i="1"/>
  <c r="H31" i="1"/>
  <c r="H30" i="1"/>
  <c r="H28" i="1"/>
  <c r="F28" i="1"/>
  <c r="H27" i="1"/>
  <c r="F26" i="1"/>
  <c r="H26" i="1" s="1"/>
  <c r="F25" i="1"/>
  <c r="H25" i="1" s="1"/>
  <c r="F24" i="1"/>
  <c r="H24" i="1" s="1"/>
  <c r="F23" i="1"/>
  <c r="H23" i="1" s="1"/>
  <c r="H22" i="1"/>
  <c r="H21" i="1"/>
  <c r="H20" i="1"/>
  <c r="H19" i="1"/>
  <c r="H18" i="1"/>
  <c r="F17" i="1"/>
  <c r="H17" i="1" s="1"/>
  <c r="F16" i="1"/>
  <c r="H16" i="1" s="1"/>
  <c r="H15" i="1"/>
  <c r="H14" i="1"/>
  <c r="H13" i="1"/>
  <c r="H12" i="1"/>
  <c r="H11" i="1"/>
  <c r="F10" i="1"/>
  <c r="H10" i="1" s="1"/>
  <c r="H9" i="1"/>
  <c r="F9" i="1"/>
  <c r="H8" i="1"/>
  <c r="H7" i="1"/>
  <c r="H6" i="1"/>
  <c r="H44" i="1" l="1"/>
</calcChain>
</file>

<file path=xl/sharedStrings.xml><?xml version="1.0" encoding="utf-8"?>
<sst xmlns="http://schemas.openxmlformats.org/spreadsheetml/2006/main" count="130" uniqueCount="123">
  <si>
    <t>Team Members:</t>
  </si>
  <si>
    <t>Dallas Hite, Logan Leslie, and Chris Singer</t>
  </si>
  <si>
    <t>Project Name:</t>
  </si>
  <si>
    <t>Acoustic Localization Robot</t>
  </si>
  <si>
    <t>Date:</t>
  </si>
  <si>
    <t>Item Description</t>
  </si>
  <si>
    <t>Manufacturer</t>
  </si>
  <si>
    <t>Vendor or Source</t>
  </si>
  <si>
    <t>Unit/Batch</t>
  </si>
  <si>
    <t>Price/Unit</t>
  </si>
  <si>
    <t>Price</t>
  </si>
  <si>
    <t>Quantity</t>
  </si>
  <si>
    <t>Cost</t>
  </si>
  <si>
    <t>Purchased?</t>
  </si>
  <si>
    <t>Date</t>
  </si>
  <si>
    <t>Who?</t>
  </si>
  <si>
    <t>1/24th RC Shocks 48mm Adjustable Absorber Damper for All 1:24 Axial SCX24 AXI90081 Deadbolt AXI00002 JLU AXI00005 Gladiator RC Crawler Car Upgrades (Green)</t>
  </si>
  <si>
    <t>RCLIONS</t>
  </si>
  <si>
    <r>
      <rPr>
        <u/>
        <sz val="10"/>
        <color rgb="FF0000FF"/>
        <rFont val="Verdana"/>
      </rPr>
      <t>https://www.amazon.com/dp/B0B4CN66YT?pd_rd_i=B0B4CLGCX3&amp;pd_rd_w=1meNL&amp;content-id=amzn1.sym.0d1092dc-81bb-493f-8769-d5c802257e94&amp;pf_rd_p=0d1092dc-81bb-493f-8769-d5c802257e94&amp;pf_rd_r=CSS7S2SMTJMQE07YS0KP&amp;pd_rd_wg=tLNS5&amp;pd_rd_r=ff3737e3-2bf9-4180-8fac-b46f8fd8321a&amp;s=toys-and-games&amp;sp_csd=d2lkZ2V0TmFtZT1zcF9kZXRhaWwy&amp;smid=A3GDAG528VLM&amp;spLa=ZW5jcnlwdGVkUXVhbGlmaWVyPUExRDNWUU1BTllJUUk1JmVuY3J5cHRlZElkPUEwMzAyNzM0S09VVVJEWVZLNFRYJmVuY3J5cHRlZEFkSWQ9QTA4MjY2OTBWSzM5UzgxQTVTTDUmd2lkZ2V0TmFtZT1zcF9kZXRhaWwyJmFjdGlvbj1jbGlja1JlZGlyZWN0JmRvTm90TG9nQ2xpY2s9dHJ1ZQ&amp;th=1&amp;linkCode=sl1&amp;tag=howto045-20&amp;linkId=f0399f2b7da059d2e64d6f9deb2278f7&amp;language=en_US&amp;ref_=as_li_ss_tl</t>
    </r>
  </si>
  <si>
    <t>Compression Spring,304 Stainless Steel,7mm OD,0.8mm Wire Size,21mm Compressed Length,35mm Free Length,17.2N Load Capacity for Home Projects, Silver Tone</t>
  </si>
  <si>
    <t xml:space="preserve">uxcell </t>
  </si>
  <si>
    <t>https://www.amazon.com/uxcell-Compression-Stainless-Compressed-Capacity/dp/B08VDKPVH1?crid=9HPE0AZE1YJ7&amp;keywords=spring%2B7mm%2B35mm&amp;qid=1679325797&amp;sprefix=spring%2B7mm%2B35m%2Caps%2C197&amp;sr=8-4&amp;th=1&amp;linkCode=sl1&amp;tag=howto045-20&amp;linkId=64aebad7baed673caf12a6052d1802fd&amp;language=en_US&amp;ref_=as_li_ss_tl</t>
  </si>
  <si>
    <t>624ZZ Ball Bearing 4mm x 13mm x 5mm Double Shielded 624-2Z 80024 Deep Groove Bearings, Carbon Steel</t>
  </si>
  <si>
    <t>https://www.amazon.com/uxcell-Groove-Bearing-Double-Bearings/dp/B07FVXYXMZ?crid=2P4N44WTMGOZ5&amp;keywords=bearing%2B624&amp;qid=1679320982&amp;sprefix=bearing%2B62%2Caps%2C244&amp;sr=8-3&amp;linkCode=sl1&amp;tag=howto045-20&amp;linkId=614796bdacd5fcf666ac66a3cce3b196&amp;language=en_US&amp;ref_=as_li_ss_tl&amp;th=1</t>
  </si>
  <si>
    <t>3D Printed Parts</t>
  </si>
  <si>
    <t>Robot Chassis Solidworks Files</t>
  </si>
  <si>
    <t>How to Mechatronics</t>
  </si>
  <si>
    <t>https://howtomechatronics.com/projects/fully-3d-printed-tank-tracked-robot-platform/#3d-model-and-stl-download-files</t>
  </si>
  <si>
    <t>Heat Insert Brass Threaded Insert Nuts M2 M3 M4 M5 Female Thread Knurled Nut Inserts Embedment Nut for 3D Printing Project</t>
  </si>
  <si>
    <t>AYOJIB</t>
  </si>
  <si>
    <t>https://www.amazon.com/AJOYIB-Threaded-Knurled-Embedment-Printing/dp/B096MD67WB?crid=1I711K0UAI0TQ&amp;keywords=threaded%2Binserts&amp;qid=1639878419&amp;sprefix=threaded%2Binserts%2Caps%2C352&amp;sr=8-2-spons&amp;spLa=ZW5jcnlwdGVkUXVhbGlmaWVyPUExRFFISUNURjMyMU5LJmVuY3J5cHRlZElkPUEwMzk0NjM1OE1ZSVAxTDhOVkgwJmVuY3J5cHRlZEFkSWQ9QTA4MTYzNTMzR1lYWDBWSkNZNDVRJndpZGdldE5hbWU9c3BfYXRmJmFjdGlvbj1jbGlja1JlZGlyZWN0JmRvTm90TG9nQ2xpY2s9dHJ1ZQ&amp;th=1&amp;linkCode=sl1&amp;tag=howto045-20&amp;linkId=14d56c9a87daab1b7b5ab19e16a87fce&amp;language=en_US&amp;ref_=as_li_ss_tl</t>
  </si>
  <si>
    <t>M4 x 20mm 25mm 30mm 35mm 40mm Hex Socket Head Cap Screws Bolts, 12.9 Grade Alloy Steel, Black Oxide Finish, Fully Threaded, Metric Allen Hex Drive, Assortment Kit</t>
  </si>
  <si>
    <t>Cicidorai</t>
  </si>
  <si>
    <t>https://www.amazon.com/Cicidorai-Socket-Screws-Threaded-Assortment/dp/B09XWM8Y28/ref=sr_1_2_sspa?crid=XHF6M4LHL78S&amp;dib=eyJ2IjoiMSJ9.9vYwLgJRbXhgFbgGV7U3iXkJZVoS7jbSKYlm6R197TUXXHU6iKtigonEQrZVvk6IejRVP2kwp02GNH-0rlZ4-r8eWEte0w0RPr0zx9FHwwm5wXyt1LkfkkbrMXg7rnrvXZwVeLlBY0N48gUohQj3mxge4sWPWXwXZGnrxXJFZoKTrVuo4UCjySELGy88lNuD6r75V9dlxggwP6XMm5c4jMHeClMz7NONptHcQ4S65is.zNOaa2dc52ko30Fgo7pJPNbE5ByAsY7jjrx4pgQ_ql8&amp;dib_tag=se&amp;keywords=m4x40mm%2Bbolts&amp;qid=1726965541&amp;sprefix=m4x40mm%2Bbolts%2Caps%2C86&amp;sr=8-2-spons&amp;sp_csd=d2lkZ2V0TmFtZT1zcF9hdGY&amp;th=1</t>
  </si>
  <si>
    <t>Pieces M3 x 6mm /8mm /12mm /16mm /20mm /25mm /30mm, Hex Socket Head Cap Screws Bolts Washers Nuts Kit, 304 Stainless Steel</t>
  </si>
  <si>
    <t>HELIFOUNDER</t>
  </si>
  <si>
    <t>https://www.amazon.com/HELIFOUNER-Screws-Washers-Kit-Stainless/dp/B0BMQ5Z96H/ref=sr_1_8?crid=1R7CEM80NVV4H&amp;dib=eyJ2IjoiMSJ9.2XdcTYOBE0veKn5cHOvwh8gNdkm9btja0HNHK5D20v1g0pQ18DNmfZW1gznaO2AoIXKAG1mHGtKek9fCGrzp3ZPvN2Uh47vzLME-Dsmg9G4q3kfFrcEsIRElj0hgUTXhrsvkm2HiNzu0Bg1hrGb3LIfpimBJ2TnmvwZJwYTPju_1VyEURI7D2DIuSVIeT8ZsQo39BPGFvKyibo9NUEkfYh5kB_TPa5PtA14Rzm7S1BU.QVuFVaXuvYu715ZAEKGPKNHEY4HYhWyFxPvDkemO4do&amp;dib_tag=se&amp;keywords=m3x25mm%2Bbolts&amp;qid=1726965747&amp;sprefix=m3x25mm%2Bbolts%2Caps%2C90&amp;sr=8-8&amp;th=1</t>
  </si>
  <si>
    <t>M3x25mm Socket Head Cap Screws Bolts, 50Pcs 304 Stainless Steel 18-8, Metric Machine Hex Socket Screw, Hex Drive, Bright Finish, UNC Coarse Thread Fully Threaded</t>
  </si>
  <si>
    <t>https://www.amazon.com/DTGN-M3x25mm-Stainless-Machine-Threaded/dp/B0CFV3JK91/ref=sr_1_9?crid=1R7CEM80NVV4H&amp;dib=eyJ2IjoiMSJ9.2XdcTYOBE0veKn5cHOvwh8gNdkm9btja0HNHK5D20v1g0pQ18DNmfZW1gznaO2AoIXKAG1mHGtKek9fCGrzp3ZPvN2Uh47vzLME-Dsmg9G4q3kfFrcEsIRElj0hgUTXhrsvkm2HiNzu0Bg1hrGb3LIfpimBJ2TnmvwZJwYTPju_1VyEURI7D2DIuSVIeT8ZsQo39BPGFvKyibo9NUEkfYh5kB_TPa5PtA14Rzm7S1BU.QVuFVaXuvYu715ZAEKGPKNHEY4HYhWyFxPvDkemO4do&amp;dib_tag=se&amp;keywords=m3x25mm%2Bbolts&amp;qid=1726966117&amp;sprefix=m3x25mm%2Bbolts%2Caps%2C90&amp;sr=8-9&amp;th=1</t>
  </si>
  <si>
    <t>M3x12mm Flat Head Machine Screws Inner Hex Screw 304 Stainless Steel Fasteners Bolts</t>
  </si>
  <si>
    <t>uxcell</t>
  </si>
  <si>
    <t>https://www.amazon.com/uxcell-M3x12mm-Machine-Stainless-Fasteners/dp/B07WJKPCZY/ref=sr_1_1_sspa?crid=1KDYIIE7G93V8&amp;dib=eyJ2IjoiMSJ9.320cGbPDyV-bxBLPrrWVfnxy9J84o26VN2W3cXoWNtnMr-4wBgWhb4b3nVJZUCYsW3CNVB0RIMv1jutfyz2m28KlvhLPPY5Xo-E6h3gKpChfb5SZqo0xAev1wg6fZvBR-2ATCOZkRNMXmuaIttOZTMfoqfQFfFsCew7w226xnhR8o-5CCMU1ZgwN3V7CRdnouHX4Md24HKE3olI4KRIlNRXasPwijUNufJ9TpGhHyGw.RZgUur4oZuC11Us5EEyCEeOHsdGNaz1plhFd0AtJnAY&amp;dib_tag=se&amp;keywords=m3x12%2F14mm%2Bbolts&amp;qid=1726966578&amp;sprefix=m3x12%2F14mm%2Bbolts%2Caps%2C77&amp;sr=8-1-spons&amp;sp_csd=d2lkZ2V0TmFtZT1zcF9hdGY&amp;th=1</t>
  </si>
  <si>
    <t>Arduino Giga R1 WiFi [ABX00063]</t>
  </si>
  <si>
    <t>Arduino</t>
  </si>
  <si>
    <t>https://www.amazon.com/Arduino-Giga-R1-WiFi-ABX00063/dp/B0BTTRZ9TB/ref=sr_1_3?crid=209SYWKYM4C4L&amp;dib=eyJ2IjoiMSJ9.dyD-QpmTZIoLUGA0ubak65-xcef6XuoQyIZwe1Ubz0aMme525eDuvoMMdwQvyD2Trl1knPPvy8JhCZcB1s2aXyK1biE6n-zsaIM3MIjHZLD-SUr9tJV_IMMc97AWK5A-CD3X5V2XkN7JLSncDOy57ywHxqYGHWAdo3L7TZ-YiBn1ObF_GnSZe5Zfz0McWQoqMFkRnMmaCZNM--5MePwH9EqmNU3ixovwMjaXPo8nNhQ.X3rqBqpYFnvRpusUIezlLbOr1pTyFKTTsyuumvNtMiA&amp;dib_tag=se&amp;keywords=arduino+giga&amp;qid=1726966727&amp;sprefix=arduino+giga%2Caps%2C95&amp;sr=8-3</t>
  </si>
  <si>
    <t>Custom PCB Design (Linear Voltage Regulator)</t>
  </si>
  <si>
    <t>JLCPCB</t>
  </si>
  <si>
    <t>M3 Screws,M3x14mm Button Head Socket Cap Screw and Bolt, Stainless Steel Screws,Allen Hex Drive,Full Thread,Bright Finish,Coarse Thread</t>
  </si>
  <si>
    <t>Romozi</t>
  </si>
  <si>
    <t>https://www.amazon.com/Screws-M3x14mm-Button-Socket-Stainless/dp/B0CBK9MQSM/ref=sr_1_6?crid=2N4S494W1QZL8&amp;dib=eyJ2IjoiMSJ9.GByEoeFoXt7DKMLqlrQoIA_XuP61Ua6aK1tlFF8GeVkSrz-YqdZALcre1bAv8GDDxQMKPuHQBRnc2_U6CprVPic5EaU-PslM5pMQZXeyjjH2s-QQ_bzJkxqL0v0_BjEAbgRZm_IZxe5A5VkE7wpxKjHsAVGN5hc26Fc4EtqqFqFQPJu3DCZkItU44bpWRLotVFMZZQaMtFmbYsfkIAxkTFGQBqO4BNUfM9SzHx0NV4A.YLT-ASjtHj_JpniIGHmKVdsvd7GaZL6C45CaTQUzYRw&amp;dib_tag=se&amp;keywords=m3x14mm%2Bbolts&amp;qid=1726967391&amp;sprefix=m3x14mm%2Bbolts%2Caps%2C68&amp;sr=8-6&amp;th=1</t>
  </si>
  <si>
    <t>M3x10mm Hex Socket Head Cap Screws,Full Thread,304 Stainless Steel Hex Socket Cap Bolts</t>
  </si>
  <si>
    <t>zw99</t>
  </si>
  <si>
    <t>https://www.amazon.com/M3x10mm-Socket-Screws-Thread-stainless/dp/B077Y11MG2/ref=sr_1_3?crid=SLKJD8QJ4UJ1&amp;dib=eyJ2IjoiMSJ9.qdT2JN0NcN-0qrytfMyRoJNdkOx35nsKo3BpN2H14MSlqGDuezGe9pjUiz6-rDpND1KyVeh2ZEmgyN_e0mChEzx5VTBNp0hIzeCZ5925aQ7EISCalVAoVDaQ-_X7iWTJdlbzFh_FM9JBFlOC_II8vAO0m5FGHVKaDgxaxAQ2rTtmxeUJK_xZZAgAkqf1eeT1nwrfcBywMP2WWO1VKlQe5uGTqFHvFxmMMrq3HnQa2Zo.db8szTdXpP1Z_xynLN4KbyiFgx1wmw9xkAiZfF16Pr0&amp;dib_tag=se&amp;keywords=m3x10mm%2Bbolts&amp;qid=1726967736&amp;sprefix=m3x10mm%2Bbolts%2Caps%2C88&amp;sr=8-3&amp;th=1</t>
  </si>
  <si>
    <t>M3x8mm Flat Head Machine Screws Inner Hex Screw 304 Stainless Steel Fasteners Bolts</t>
  </si>
  <si>
    <t>https://www.amazon.com/uxcell-M3x8mm-Machine-Stainless-Fasteners/dp/B07WMGF5B6/ref=sr_1_1_sspa?crid=2D50NLHWQTJU&amp;dib=eyJ2IjoiMSJ9.Gti0kxct-UmmxIyPyYoFZyK2L6T2JLL4hz9nFUjiT9avS7ugn18hDOYSzc1ndGNOXp4Vyl6KBfLIIUwjw7Eex-AfWKKbl87p9n-MKHJ6BFeEl7EH1G-3x3FvBt4uCYLiGmpqb9l_PQ7Ydt1FQ3txFvWaC-susmtqjuvqpJd5g8LsKk2TfCBShpcc3HBJs9WqqFZp9Xxa11iWMbOeFLbBLHWlAMNWICNYdxDbHGy4MNM.MnEK10VKmITuPVNyOlyK5lG8lps_Dfj7ml2kOpCLvRM&amp;dib_tag=se&amp;keywords=m3x8mm%2Bbolts&amp;qid=1726967837&amp;sprefix=m3x8mm%2Bbolts%2Caps%2C69&amp;sr=8-1-spons&amp;sp_csd=d2lkZ2V0TmFtZT1zcF9hdGY&amp;th=1</t>
  </si>
  <si>
    <t>M4-0.7mm (100 PCS) Stainless Steel Hex Nuts Finished Hexagon Nuts, 304 Stainless Steel 18-8, Standard DIN934, Full Thread, Bright Finish, Coarse Thread UNC</t>
  </si>
  <si>
    <t>EASTLO</t>
  </si>
  <si>
    <t>https://www.amazon.com/M4-0-7-Stainless-Thread-Bright-Finish/dp/B08Y8PCXMH/ref=sr_1_4?crid=21WZ19WN7MCRU&amp;dib=eyJ2IjoiMSJ9.I0oMVt84XvMW_E0jMyDRPG4o3RpLBVfoqnI3520_9AZW53sTECd-HrwnMTmV6kyhOErZyw4Y_gmwdAX_AOLP9sUA2XMsjD4AqWTHSxX57RHKgJidpin_wGX1sNXC1BvYEMrlKxo-KgYcCiSddEzsc5G5muWVb-ADXr8A1_8Dd8H15TGaIRsoanyO5riQztCepLjL4vmQQk4gDlGWO84vEWUTZ8NEVBfnG_Vq2YV3zkE.kWV2SD2XmtMCVkIrT91nXi3NOusGhnQ0PMGuPeJmISk&amp;dib_tag=se&amp;keywords=m4%2Bnuts%2Bfull%2Bthread&amp;qid=1726968061&amp;sprefix=m4%2Bnuts%2Bfull%2Bthread%2Caps%2C75&amp;sr=8-4&amp;th=1</t>
  </si>
  <si>
    <t>Litoexpe 100 Pcs M4 Stainless Flat Washer, 1/2 Inch(12mm) Outside Diameter, 1mm Thickness</t>
  </si>
  <si>
    <t>Litoexpe</t>
  </si>
  <si>
    <t>https://www.amazon.com/Litoexpe-Stainless-Outside-Diameter-Thickness/dp/B0BGLB6DD2/ref=sr_1_6?crid=34M5UAWIO2LUT&amp;dib=eyJ2IjoiMSJ9.GbamPSwWuIGWn94oApcz0zwXvO8nVkHjAP_0EWGFoHM0BdZNxXsqBBIvtvxzNRETuKWsjc5cn64gi-vAn3RMj4SckXrXAEDO-j-8W4mmotvkh0P9RC5nrLDoSpviyHJy4KlfBiNZmJDwe2swov9bc2tsPTM0Kv7bs_eSllRfiZ0OajOowWfw0QSaMkMDzlArd8oePqDvc_G_4Sb9o00_-_56Cm8AIvn3GK1xZLP6j7o.WWjWHQ-4ANRkcP0QfLkKe-nCpAmxGRnp_r99ODnfabk&amp;dib_tag=se&amp;keywords=m4%2Bwashers&amp;qid=1726968177&amp;sprefix=m4%2Bwashers%2Caps%2C85&amp;sr=8-6&amp;th=1</t>
  </si>
  <si>
    <t>DC Gear Motor 12V 200RPM, Micro Motors 1.5"(37mm) Diameter Built-in Gearbox DIY Motor, Respooler Motor…</t>
  </si>
  <si>
    <t>Sortfle</t>
  </si>
  <si>
    <t>https://www.amazon.com/Sortfle-200RPM-Diameter-Gearbox-Respooler/dp/B0D2N7QHPY/ref=sr_1_8?crid=PKO99XEJOR8H&amp;dib=eyJ2IjoiMSJ9.mGKcq0vAgqjNzh8v0eP9sOFErNE-suYUaKgsDwTlSJHX_m_9_QnaS3uTN__0hIf3SsxusPLYFo_HIr5mVGtsPQYCt1B47q1fqEPEZYNQpJW6yv0mXDh50ZU_9bkpfZgHjZoSYPEUiDVaCgsPP8pJz86RFootZqg-9UFysbByixXfzgKH1dXQHysWiJLI51NWRagYtAUOa0O9sQ3NKD3FVmuyuFkvKvMg9nlkCuCUNsb4zlxRpsYcY8tATEiKt5m6rgW8t2jhWejBnbD5aTeqt6Leh0ME0h-t1KIdEpw1n6M.0GTHLr0GX4wvecHw87jy07OJmJMgZATzqBrNRw411sQ&amp;dib_tag=se&amp;keywords=12V%2BDC%2BMotor%2B37mm%2B250%2Brpm&amp;qid=1726968828&amp;sprefix=12v%2Bdc%2Bmotor%2B37mm%2B250%2Brpm%2Caps%2C67&amp;sr=8-8&amp;th=1</t>
  </si>
  <si>
    <t>DRV8871 DC Motor Driver Breakout Board - 3.6A Max</t>
  </si>
  <si>
    <t>Adafruit</t>
  </si>
  <si>
    <t>https://www.amazon.com/Adafruit-DRV8871-Motor-Driver-Breakout/dp/B06Y4VRXN4?dchild=1&amp;keywords=DRV8871&amp;qid=1622735124&amp;sr=8-1&amp;linkCode=sl1&amp;tag=howto045-20&amp;linkId=efdd2fdff0f69ec6e5a9d5e4afaa8b27&amp;language=en_US&amp;ref_=as_li_ss_tl</t>
  </si>
  <si>
    <t>HRB 3S 5000mAh Lipo Battery XT60 11.1V Lipo Battery 100C RC Lipo Battery Compatible with RC Car RC Plane RC Truck RC Boat</t>
  </si>
  <si>
    <t>HRB</t>
  </si>
  <si>
    <t>https://www.amazon.com/HRB-5000mAh-Battery-11-1V-Compatible/dp/B0BYRJ18S5/ref=cm_cr_arp_d_product_top?ie=UTF8</t>
  </si>
  <si>
    <t>Amass XT60 Plug Male Female Connector Adapter with Sheath Housing with 5.9inch 12AWG Silicone Wire for RC Lipo Battery FPV Racing Drone</t>
  </si>
  <si>
    <t>Yiqigou</t>
  </si>
  <si>
    <t>https://www.amazon.com/Yiqigou-Connector-Adapter-Housing-Silicone/dp/B07RGKJ3XQ/ref=sr_1_4?crid=35ZQ79L9Z3MY0&amp;dib=eyJ2IjoiMSJ9.ZOrJAcaFTAgCi8iF0WZYsPUbdxmj_woywbDrer5WB9gIoYci6dJNDvRtO8vsitXDM4ASvBoQkLVntVJ34AkM-accR8BN920hf3-ssrBWiCMGecyewwGScOW6xEHmWSwPgUR-jnuw0oyKkFzbtD-grwXNjrq4qxfg7Wf6n2tNvUSXM-QqZtz2cNSFL2K_eL6ruMZopy0grR2hz3rfBiDoTFd7Tw_TUydfYF9Oibqr_I6_qkB58whvWfLJCvsMmc-5AXM68lR3rJI6WDl0_vLH6OoqH_y3icuD1Fvq8xcFu-Y.njV3Z-72cc3Z_PqtOCmiVruvLvr9lk6LT5FF6jlprB0&amp;dib_tag=se&amp;keywords=4pcs+XT60+Plug+Male+Female+Connector+with+Sheath+Housing+Connector+with+150mm+12AWG+Silicon+Wire+for+RC+Lipo+Battery+FPV+Drone&amp;qid=1726971094&amp;sprefix=4pcs+xt60+plug+male+female+connector+with+sheath+housing+connector+with+150mm+12awg+silicon+wire+for+rc+lipo+battery+fpv+drone%2Caps%2C70&amp;sr=8-4</t>
  </si>
  <si>
    <t>FS-i6X 6-10(Default 6)CH 2.4GHz AFHDS RC Transmitter w/ FS-iA6B Receiver</t>
  </si>
  <si>
    <t>Flyksy</t>
  </si>
  <si>
    <t>https://www.amazon.com/Flysky-FS-i6X-Transmitter-FS-iA6B-Receiver/dp/B0744DPPL8?dchild=1&amp;keywords=Flysky+I6X+FS-i6X+10CH&amp;qid=1622735578&amp;sr=8-8&amp;linkCode=sl1&amp;tag=howto045-20&amp;linkId=7cfcfc973fe6b8febec9fde94785c6e6&amp;language=en_US&amp;ref_=as_li_ss_tl</t>
  </si>
  <si>
    <t>Cylindrical Electret Condenser Microphone Pickup with 2 Pins 9×7mm for Arduino (Pack of 10) CYT1013</t>
  </si>
  <si>
    <t>Cylewet</t>
  </si>
  <si>
    <t>https://www.amazon.com/Cylewet-Cylindrical-Electret-Condenser-Microphone/dp/B01N0VMN9P/ref=sr_1_5?crid=2OO8ZTCZ2U105&amp;dib=eyJ2IjoiMSJ9.3oaWBX7iGwA10kDWHD4tLVOslvCEHIgu4jvCR6agkincehlh7ksOH2x8jF9r3vCdO38hdQe7AUeGrklqC8IVFWEI-tygclKZ3cbmsy1Hg1g0kjlisgPdswW_z60OdvP_vNzzQXnVLr1hHnjDdDRF4ZuT093lNpMXpzAP0APl3cwhMw-JlpHxx6LML0uy2n-j0idPqDgAmLUnondrDFWgJAk92R_-oTxhYxh2w9jELdR_NaEQ1s-L16a6Rgw5lgcXKsZHIyaFkuqGhaQdpux7WTZ64GU1W3yaFD2Ow2x5qV8.4DypU8Bg7Q8XJRMerIlxQsYYHuALTzmv0SFvvh7vw1Y&amp;dib_tag=se&amp;keywords=10+pcs+cylindrical+electret+condenser+microphone&amp;qid=1727189033&amp;sprefix=10+pcs+cylindrical+electret+condenser+microphone%2Caps%2C83&amp;sr=8-5</t>
  </si>
  <si>
    <t>GPS Module,Navigation Satellite Positioning NEO-6M,Arduino GPS, Drone Microcontroller, GPS Receiver Compatible with 51 Microcontroller STM32 Arduino UNO R3 with Antenna High Sensitivity</t>
  </si>
  <si>
    <t>Beffkkip</t>
  </si>
  <si>
    <t>https://www.amazon.com/Navigation-Positioning-Microcontroller-Compatible-Sensitivity/dp/B0B31NRSD2/ref=sr_1_3?crid=3C7YNOH2NCHDS&amp;dib=eyJ2IjoiMSJ9.yXH77nsCHh6WVOgqLX6CCtaPx4AvHaryrk1uurncM0dcppYNumU6GiLFU1qahB_NVdRmyx6xzKtzr1AA6vIgTqAJbF6oWsLiwGquYNT1Lru1fE3GyEDZp388Adgc2W5RSkz4dqvXDDCd8mGjAjjLNA.ElvtBmwRb8kqrucQ-KJuCgMTTig4K_C_JEwAhLUOQE0&amp;dib_tag=se&amp;keywords=u-blox+neo-m8n&amp;qid=1727282847&amp;sprefix=u-blox+neo-m8n%2Caps%2C98&amp;sr=8-3</t>
  </si>
  <si>
    <t>Brass Welding Rods 1.5 mm 2 mm in Brazing Rods Brass Rod for DIY Craft Drift Punches Knife Handle Lathe (2 mm)</t>
  </si>
  <si>
    <t>Moxweyeni</t>
  </si>
  <si>
    <t>https://www.amazon.com/Brass-Welding-Brazing-Punches-Handle/dp/B09VSGDW9V/ref=sr_1_5?crid=12V46ERZRS9HY&amp;dib=eyJ2IjoiMSJ9.vqPqoi_6TpkW9M7h3xgosn9PfUnpSiU-6DyxC4gd5UHgqZZZsGOuquhtH9pbVgsD5J3TTOXU1ex84ETYT1_ap6WHElr3Z7uqlZ5ju-WBPITk7EKHgh_nMmM-n0yI04Bp2swQxvMhwCMi3H3nc7m_tm6WRumqBYem5H0u0SlVihMTWijRRErv8unAzl42v1GerMmZK6aZjUOrGPtxkjxPXJLe4jh11tqX2Aojkc6pDepZoMPZAbZLLfq6elX_hwQqPI-rVlGdiPSQLhMKp5h-lTJdrItdQ0vXo2H-1mBu9CQ.vU1plWTWNELAjDZJH-UdWF3hsmRVf_3qlcNYdLJMWCg&amp;dib_tag=se&amp;keywords=2mm%2Bwelding%2Brods&amp;qid=1727350644&amp;sprefix=2mm%2Bcopper%2Bwelding%2Brods%2Caps%2C158&amp;sr=8-5&amp;th=1</t>
  </si>
  <si>
    <t>Superbat U.FL to RP-SMA Pigtail 12inch RP SMA Female to UFL/IPEX Cable for Wireless Routers Mini PCIe Cards Network PCI WiFi External Antenna Mod Tmobile Gateway</t>
  </si>
  <si>
    <t>Superbat</t>
  </si>
  <si>
    <t>https://www.amazon.com/Superbat-Wireless-Repeater-Extension-Bulkhead/dp/B09VPGF2WZ/ref=sr_1_1_sspa?crid=1CEFLGLNJVK2N&amp;dib=eyJ2IjoiMSJ9.O9cnWvBSCdeya60ZC8xlFnr_UiVennaAnKKInEpGHwFc2t8Men574XzfwM-_o9zukSi1LILMLaa0qJquDeB3L9ks0nPEcVWly1-GpMZImPvGoqdoXyLXFZVtVPYpM3oLzQKCJgSV0CwPVTIFUpFzKLpVO_zEog0VjswvHDmL2fbYOvZOrZv-3Bk3A2qhC4f5oo9gNtCSFXVfwA3h8hrFr5rpY19y2H9pTaLqiJcfivc.uOB6vAKpD13d74J0LTAaNl3URc4ptR9m6SJ10ubkgkE&amp;dib_tag=se&amp;keywords=u.fl%2Bto%2Brp-sma%2Bpigtail%2Bcable&amp;qid=1728496314&amp;sprefix=u.fl%2Bto%2Brp-sma%2Bpigtail%2Bcable%2Caps%2C98&amp;sr=8-1-spons&amp;sp_csd=d2lkZ2V0TmFtZT1zcF9hdGY&amp;th=1</t>
  </si>
  <si>
    <t>Bingfu Dual Band WiFi 2.4GHz 5GHz 5.8GHz 3dBi MIMO RP-SMA Male Antenna (2-Pack) for WiFi Router Wireless Network Card USB Adapter Security IP Camera Video Surveillance Monitor</t>
  </si>
  <si>
    <t>BINGFU</t>
  </si>
  <si>
    <t>https://www.amazon.com/Bingfu-Rosewill-Gigabyte-Wireless-Security/dp/B082SHKT3Q/ref=sr_1_3?crid=1LE7OKKP33TH1&amp;dib=eyJ2IjoiMSJ9.ES-Y53VUZO1kxUrriaILPNLHGluUJTFCeyuBMD5K_0MRkYherNDr5OVI0DAkLTx4i2BIXf-cZWSdPFZa2VOsby4roGbXhs8qnZxC-uzvpav-Wgs7Byuv-IrlphTpQDbQ7m0749f11G1eHVcF1pFYVx8NasRY9VQTWF1v8rps5egaVux_l63doLlqwv80JFBtVjXztXcqHgP2OtlxKB94NtdNSKdiPaz-MfARjvYcDE4.jt_E3wWjttK_dQAeFhAbe_QLTjVLRcAhlghoaQuVQvE&amp;dib_tag=se&amp;keywords=2.4%2F5%2Bghz%2Brp-sma%2Bdual-band%2Bantenna&amp;qid=1728496258&amp;sprefix=2.4%2F5%2Bghz%2Brp-sma%2Bdual-band%2Bantenna%2Caps%2C81&amp;sr=8-3&amp;th=1</t>
  </si>
  <si>
    <t>ESP32 CAM Development Board ESP32-CAM 8MP OV2640 Camera Module, WiFi Bluetooth Module ESP32-CAM-MB Micro USB to Serial Port CH340G with TF Card Slot for Raspberry Pi for Arduino</t>
  </si>
  <si>
    <t>YEJMKJ</t>
  </si>
  <si>
    <t>https://www.amazon.com/YEJMKJ-Development-ESP32-CAM-Bluetooth-ESP32-CAM-MB/dp/B0CDRNJKSF/ref=sr_1_1_sspa?crid=3NOIVNPRDSJFS&amp;dib=eyJ2IjoiMSJ9.nSpd6GkjsQzkhWTmAKlVSQjUaeOo8rdTgIN2dudJim0LSKaF2md_TKhoc9RTDixQ729MEGlP8OBVd92R4oQ8kLYXNmPTCubSGl5Usm5jjwM8xKtbQpIrw5bB_z98uh26Ex8XThET_ZwdPUydVwuzsjQpS95FAJVWpeXBq3BSWpFUM6aAwlUefxTpYmVsdtaYy51NDbm_Sgu4wDfBaLkDkWRp6lA67B82L3zUYnkMP98.atU7fdLsEe5JUwihLp4-Fh45lzLMqZwazebdWw-LX20&amp;dib_tag=se&amp;keywords=esp32-cam%2Bwifi%2Bmodule%2Bwith%2Bov2640%2Bcamera&amp;qid=1728497505&amp;sprefix=esp32-cam%2Bwifi%2Bmodule%2Bwith%2Bov2640%2Bcamera%2Caps%2C81&amp;sr=8-1-spons&amp;sp_csd=d2lkZ2V0TmFtZT1zcF9hdGY&amp;th=1</t>
  </si>
  <si>
    <t>DSD TECH SH-U09C USB to TTL Serial Adapter with FTDI FT232RL Chip Compatible with Windows 11, 10, 7 and Mac OS</t>
  </si>
  <si>
    <t>DSD TECH</t>
  </si>
  <si>
    <t>https://www.amazon.com/DSD-TECH-Adapter-FT232RL-Compatible/dp/B07BBPX8B8/ref=sr_1_1?crid=3JTF9W7OVURR8&amp;dib=eyJ2IjoiMSJ9.anULjEF5i61NIsZ2r9_LXojGb-PsZDJ8J8aWFNwX8-CcRg3ysHyfb5gMpganH5I3MFyq8BhMv_pWP-g3Di5k4hCJMVdTzacQAuvfTgCrJ1C2eQ_plh2siDz950n80CtXdzP2WMfm326BwDSewgY7rmDWbP0Wg-27_YY35JOrSkkHtonKDoSQk3k3_WoVOjZwyNZwikfDdm4EViDjOFjtU3W3A1rBRfkAlup1f_7BtAg.l163pZSxOpftArqT-WAn2ZiPMt6wM7lSsc-ewU54g84&amp;dib_tag=se&amp;keywords=ftdi+usb+to+ttl+serial+adapter&amp;qid=1728498163&amp;sprefix=ftdi+usb+to+ttl+serial+adapter%2Caps%2C96&amp;sr=8-1</t>
  </si>
  <si>
    <t>iexcell 100 Pcs M3 x 15mm Thread Pitch 0.5 mm Stainless Steel 304 Hex Socket Head Cap Screws Bolts Kit</t>
  </si>
  <si>
    <t>iexcell</t>
  </si>
  <si>
    <t>https://www.amazon.com/iExcell-Stainless-Socket-Screws-Wrench/dp/B089KTD5G3/ref=sr_1_1?dib=eyJ2IjoiMSJ9.FmHTKubS8VUTQGT5s59ZSpOOmLUUiC2gYHXZEYdlVgiDUpkSvKztc4YF4NJz7U36zVTzo98SzZfUVTRF1mgaqDJy0WZT5sj8YdMCApR4tNnTcvpwyldfCAnFNzsNm_rW1NTOt7E9NFWPgYn_XjpEwnMEVvSnvpan8avypRoDzT-sZSYi-aOwfbOQjlhK_eAXt4cAY_yzSnHcqSPC-18myPZMys0tQdMGvISEZZjmXeg.xesjC40WMnMrlPCFSuKYYnBk3AI3ZL02wqvVwECkOXY&amp;dib_tag=se&amp;keywords=iexcell+100+pcs+m3+x+15mm+thread+pitch+0.5+mm+stainless&amp;qid=1729456934&amp;sr=8-1</t>
  </si>
  <si>
    <t>uxcell M3x0.5mm Coupling Nuts, 10 Pcs Brass Galvanized Hex Rod Coupling Nuts Threaded Rod Connectors 20mm, for Industrial Construction Fasteners, Gold</t>
  </si>
  <si>
    <t>https://www.amazon.com/uxcell-Galvanized-Connectors-Industrial-Construction/dp/B0D7MY4YQ7/ref=sr_1_1_sspa?crid=23N3OWTGDU6W2&amp;dib=eyJ2IjoiMSJ9.LhX1Wf-MWwLqshkQRHW22tUAqOzqsLFnMZH52M4csO4P-LdyvPReQLxnR15M0sAAN38nmIXy9tIHBgMVrlpw4n5wailhS967qeuXgDVwLgvEFWwVNVy-UP3o7JUqhheeYh8NVv0ncuRt0dWJgDW4wK7TcfaU7QtlVM0aR7NKgAQ1L8av3_NoYZCXMkitxiFBBq-nb7ruwJaIv2ODjNfV0aU-heSQfBF29Ayx0mSRegk.rJ_zFzj2pZJtxTCp3fudaau3aS7will7tWiIs4rERUk&amp;dib_tag=se&amp;keywords=uxcell+m3x0.5mm+coupling+nuts%2C+10+pcs+brass+galvanized+hex+rod+coupling+nuts+threaded&amp;qid=1729457737&amp;sprefix=uxcell+m3x0.5mm+coupling+nuts%2C+10+pcs+brass+galvanized+hex+rod+coupling+nuts+threaded%2Caps%2C54&amp;sr=8-1-spons&amp;sp_csd=d2lkZ2V0TmFtZT1zcF9hdGY&amp;psc=1</t>
  </si>
  <si>
    <t>500pcs Set Screws, Grub Screw Set</t>
  </si>
  <si>
    <t>HIQTRADEBYJJ</t>
  </si>
  <si>
    <t>Amazon.com: 500pcs Set Screws, Grub Screw Set, Set Screws Assortment Kit M3 M4 M5 M6 M8 for Home Repair, Repair Furniture, Electronic Product, Install Door Lock, DIY, Bathroom Fixtures (Stainless Steel 12 Sizes) : Industrial &amp; Scientific</t>
  </si>
  <si>
    <t>Custom PCB Design 2</t>
  </si>
  <si>
    <t>PCBWay</t>
  </si>
  <si>
    <t>https://www.pcbway.com/QuickOrderOnline.aspx?projectid=13827&amp;issmt=0</t>
  </si>
  <si>
    <t>DaierTek Waterproof Toggle Switch 12V DC 30A Heavy Duty 2 Pin ON Off SPST with Weatherproof Boot Cap Cover for Auto Car Marine Boat</t>
  </si>
  <si>
    <t>DAIERTEK</t>
  </si>
  <si>
    <t>https://www.amazon.com/DaierTek-Waterproof-Toggle-Position-Terminal/dp/B07T6XWZKN/ref=sr_1_2_sspa?crid=18E6HVHAMRGAW&amp;dib=eyJ2IjoiMSJ9.U6DeqVsNukOmjPf4ZQ1XOeP-3jZO_QudnJ0a0hRQz0pkwZSg5iwrc-sLxhdMNIVN4SV04lrOHCWK5XwYPzzgxaBTUuQ4vaYAuWjZcmiad9uemADh1mhE3Z6bWSh2EV1O06-cB-F0QVcQQo81eXy5VZqvO03v0XCOpXR1dgPdn83D3yMWNSY2aEqh3mRReL21__XGsyOpDMGDR4hODpbgmHXtJFUHY-JtzmE9-JwGyi8.EmNpUNbhvGS7CPMF9M4sdxpVTL5v6U61VlWvN74rH6E&amp;dib_tag=se&amp;keywords=toggle%2Bswitch&amp;qid=1731272334&amp;sprefix=toggle%2Bswitch%2Caps%2C88&amp;sr=8-2-spons&amp;sp_csd=d2lkZ2V0TmFtZT1zcF9hdGY&amp;th=1</t>
  </si>
  <si>
    <t>AA Alkaline High-Performance Batteries, 1.5 Volt, 10-Year Shelf Life</t>
  </si>
  <si>
    <t>Amazon Basics</t>
  </si>
  <si>
    <t>https://www.amazon.com/AmazonBasics-Performance-Alkaline-Batteries-Count/dp/B00MNV8E0C/ref=sr_1_5?crid=1HQP1C392ENRC&amp;dib=eyJ2IjoiMSJ9.6FtahI698PDGTBOwHsupqB1aCiPKVvTTKWAfBY3FmHzdht0cJRFXvMc2ehsyFcojyHHLFEf2pXFSV8cEXS0e7li4Z8ONoWKxMTMqs8J6-1ZJepY2wltm4X6mW2H7CzjCJpPwXgj0_Kxqc5s8vrSkvSuP_g-rolRR4b6grPivsfqP0RJ_hAFLpCTCr2NedudZuD0fdsd1OgQL0D9BMHdIiZHLp3yQmon575Ao6zxHbiC9bFCCWTCCYHaHf9X1IU3BvxP9votvd0RkwX7n-pLIIHXS_a5q28o89vatxPNrslA.DVrfl7RsQYaizhsKnqTSH19hbuVCwDsLlfx1v6pFVL4&amp;dib_tag=se&amp;keywords=aa%2Bbatteries&amp;qid=1731277723&amp;rdc=1&amp;sprefix=aa%2Caps%2C84&amp;sr=8-5&amp;th=1</t>
  </si>
  <si>
    <t>OONO 16 Amp 2x12 Position Terminal Block Distribution Module for AC DC</t>
  </si>
  <si>
    <t>OONO</t>
  </si>
  <si>
    <t>https://www.amazon.com/dp/B08TBXQ7H6?psc=1&amp;smid=A2OVMUS055KMW5&amp;ref_=chk_typ_imgToDp</t>
  </si>
  <si>
    <t>Hilitchi 120-Pcs [100 to 500K] ohm 3296W Multiturn Trimmer Potentiometer Assortment Kit</t>
  </si>
  <si>
    <t>Hilitchi</t>
  </si>
  <si>
    <t>https://www.amazon.com/Hilitchi-120-Pcs-Multiturn-Potentiometer-Assortment/dp/B07146ZJJ3/ref=sr_1_1?crid=2R5VLFCP4HL0F&amp;dib=eyJ2IjoiMSJ9.ZWP29d9w25RntK1xkyvufGG1rALPdhEfcdwlQXRuc0rdL_nq-gBpagHLnGNlrZ85rjR5iWN2ufIMGf9tQa7uIi4ogAuGrk807WR1E0oPE6HoLU1NElMzptczDR8Lg0f_YrpLTQahWswhhb_P5seqai2fyiEIylizTqhEWIn80wOUblPaIZGJJzV_YQqMT9weC2Fmt6wbGw8cfZ6l1lrhg1EW1HtIsa7l_D9PRvV_J2M.HwwqqxjErjCZIijriNQHLmfsOyMAIjFD9aZQ7fUlXaM&amp;dib_tag=se&amp;keywords=hilitchi+3296w&amp;qid=1732388934&amp;sprefix=hilitchi+3296w%2Caps%2C53&amp;sr=8-1</t>
  </si>
  <si>
    <t>Total Cost</t>
  </si>
  <si>
    <t>Note 1:  Do not make changes to highlighted cells; all cells with white background are available to the user</t>
  </si>
  <si>
    <t>Note 2:  All prices are before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</si>
</sst>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dd\-mmm\-yy"/>
  </numFmts>
  <fonts count="13">
    <font>
      <sz val="10"/>
      <color rgb="FF000000"/>
      <name val="Verdana"/>
      <scheme val="minor"/>
    </font>
    <font>
      <b/>
      <sz val="10"/>
      <color theme="1"/>
      <name val="Verdana"/>
    </font>
    <font>
      <sz val="10"/>
      <color theme="1"/>
      <name val="Verdana"/>
    </font>
    <font>
      <sz val="10"/>
      <name val="Verdana"/>
    </font>
    <font>
      <b/>
      <sz val="13"/>
      <color theme="1"/>
      <name val="Calibri"/>
    </font>
    <font>
      <b/>
      <sz val="13"/>
      <color rgb="FF1F497D"/>
      <name val="Calibri"/>
    </font>
    <font>
      <u/>
      <sz val="10"/>
      <color rgb="FF0000FF"/>
      <name val="Verdana"/>
    </font>
    <font>
      <u/>
      <sz val="10"/>
      <color rgb="FF0000FF"/>
      <name val="Verdana"/>
    </font>
    <font>
      <u/>
      <sz val="10"/>
      <color rgb="FF0000FF"/>
      <name val="Verdana"/>
    </font>
    <font>
      <u/>
      <sz val="10"/>
      <color rgb="FF0000FF"/>
      <name val="Verdana"/>
    </font>
    <font>
      <sz val="10"/>
      <color rgb="FF0F1111"/>
      <name val="&quot;Amazon Ember&quot;"/>
    </font>
    <font>
      <u/>
      <sz val="10"/>
      <color rgb="FF0000FF"/>
      <name val="Verdana"/>
    </font>
    <font>
      <sz val="10"/>
      <color rgb="FF0F1111"/>
      <name val="Arial"/>
    </font>
  </fonts>
  <fills count="8">
    <fill>
      <patternFill patternType="none"/>
    </fill>
    <fill>
      <patternFill patternType="gray125"/>
    </fill>
    <fill>
      <patternFill patternType="solid">
        <fgColor rgb="FFE5DFEC"/>
        <bgColor rgb="FFE5DFEC"/>
      </patternFill>
    </fill>
    <fill>
      <patternFill patternType="solid">
        <fgColor rgb="FFFBD4B4"/>
        <bgColor rgb="FFFBD4B4"/>
      </patternFill>
    </fill>
    <fill>
      <patternFill patternType="solid">
        <fgColor rgb="FFC6D9F0"/>
        <bgColor rgb="FFC6D9F0"/>
      </patternFill>
    </fill>
    <fill>
      <patternFill patternType="solid">
        <fgColor rgb="FFF2DBDB"/>
        <bgColor rgb="FFF2DBDB"/>
      </patternFill>
    </fill>
    <fill>
      <patternFill patternType="solid">
        <fgColor rgb="FFFFFFFF"/>
        <bgColor rgb="FFFFFFFF"/>
      </patternFill>
    </fill>
    <fill>
      <patternFill patternType="solid">
        <fgColor rgb="FFD6E3BC"/>
        <bgColor rgb="FFD6E3B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applyFont="1" applyAlignment="1"/>
    <xf numFmtId="0" fontId="1" fillId="2" borderId="1" xfId="0" applyFont="1" applyFill="1" applyBorder="1" applyAlignment="1">
      <alignment horizontal="right" vertical="center"/>
    </xf>
    <xf numFmtId="0" fontId="2" fillId="0" borderId="0" xfId="0" applyFont="1" applyAlignment="1">
      <alignment vertical="center"/>
    </xf>
    <xf numFmtId="0" fontId="2" fillId="2" borderId="1" xfId="0" applyFont="1" applyFill="1" applyBorder="1" applyAlignment="1">
      <alignment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2" fillId="0" borderId="1" xfId="0" applyFont="1" applyBorder="1" applyAlignment="1">
      <alignment vertical="center"/>
    </xf>
    <xf numFmtId="0" fontId="6" fillId="0" borderId="1" xfId="0" applyFont="1" applyBorder="1" applyAlignment="1">
      <alignment horizontal="left"/>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4" fontId="2" fillId="4" borderId="1" xfId="0" applyNumberFormat="1" applyFont="1" applyFill="1" applyBorder="1" applyAlignment="1">
      <alignment horizontal="right" vertical="center"/>
    </xf>
    <xf numFmtId="164" fontId="2" fillId="5" borderId="1" xfId="0" applyNumberFormat="1" applyFont="1" applyFill="1" applyBorder="1" applyAlignment="1">
      <alignment horizontal="right" vertical="center"/>
    </xf>
    <xf numFmtId="15" fontId="2" fillId="0" borderId="1" xfId="0" applyNumberFormat="1" applyFont="1" applyBorder="1" applyAlignment="1">
      <alignment vertical="center"/>
    </xf>
    <xf numFmtId="0" fontId="2" fillId="0" borderId="0" xfId="0" applyFont="1" applyAlignment="1">
      <alignment vertical="center"/>
    </xf>
    <xf numFmtId="0" fontId="7" fillId="0" borderId="1" xfId="0" applyFont="1" applyBorder="1" applyAlignment="1">
      <alignment vertical="center"/>
    </xf>
    <xf numFmtId="0" fontId="8" fillId="0" borderId="1" xfId="0" applyFont="1" applyBorder="1" applyAlignment="1">
      <alignment vertical="center"/>
    </xf>
    <xf numFmtId="0" fontId="2" fillId="0" borderId="1" xfId="0" applyFont="1" applyBorder="1" applyAlignment="1">
      <alignment vertical="center"/>
    </xf>
    <xf numFmtId="164" fontId="2" fillId="4" borderId="1" xfId="0" applyNumberFormat="1" applyFont="1" applyFill="1" applyBorder="1" applyAlignment="1">
      <alignment horizontal="right" vertical="center"/>
    </xf>
    <xf numFmtId="165" fontId="2" fillId="0" borderId="1" xfId="0" applyNumberFormat="1" applyFont="1" applyBorder="1" applyAlignment="1">
      <alignment vertical="center"/>
    </xf>
    <xf numFmtId="164" fontId="2" fillId="5" borderId="1" xfId="0" applyNumberFormat="1" applyFont="1" applyFill="1" applyBorder="1" applyAlignment="1">
      <alignment horizontal="right" vertical="center"/>
    </xf>
    <xf numFmtId="0" fontId="2" fillId="0" borderId="1" xfId="0" applyFont="1" applyBorder="1" applyAlignment="1">
      <alignment horizontal="left" vertical="center"/>
    </xf>
    <xf numFmtId="0" fontId="9" fillId="0" borderId="1" xfId="0" applyFont="1" applyBorder="1" applyAlignment="1">
      <alignment horizontal="left" vertical="center"/>
    </xf>
    <xf numFmtId="0" fontId="10" fillId="6" borderId="1" xfId="0" applyFont="1" applyFill="1" applyBorder="1" applyAlignment="1"/>
    <xf numFmtId="0" fontId="11" fillId="0" borderId="1" xfId="0" applyFont="1" applyBorder="1" applyAlignment="1"/>
    <xf numFmtId="0" fontId="12" fillId="6" borderId="1" xfId="0" applyFont="1" applyFill="1" applyBorder="1" applyAlignment="1"/>
    <xf numFmtId="164" fontId="1" fillId="7" borderId="1" xfId="0" applyNumberFormat="1" applyFont="1" applyFill="1" applyBorder="1" applyAlignment="1">
      <alignment horizontal="right" vertical="center"/>
    </xf>
    <xf numFmtId="0" fontId="2" fillId="0" borderId="0" xfId="0" applyFont="1" applyAlignment="1">
      <alignment horizontal="center" vertical="center"/>
    </xf>
    <xf numFmtId="0" fontId="2" fillId="0" borderId="0" xfId="0" applyFont="1" applyAlignment="1">
      <alignment horizontal="right" vertical="center"/>
    </xf>
    <xf numFmtId="164" fontId="2" fillId="0" borderId="0" xfId="0" applyNumberFormat="1" applyFont="1" applyAlignment="1">
      <alignment horizontal="right" vertical="center"/>
    </xf>
    <xf numFmtId="0" fontId="2" fillId="0" borderId="2" xfId="0" applyFont="1" applyBorder="1" applyAlignment="1">
      <alignment horizontal="left" vertical="center"/>
    </xf>
    <xf numFmtId="0" fontId="3" fillId="0" borderId="3" xfId="0" applyFont="1" applyBorder="1"/>
    <xf numFmtId="0" fontId="3" fillId="0" borderId="4" xfId="0" applyFont="1" applyBorder="1"/>
    <xf numFmtId="15" fontId="2" fillId="0" borderId="2" xfId="0" applyNumberFormat="1" applyFont="1" applyBorder="1" applyAlignment="1">
      <alignment horizontal="left" vertical="center"/>
    </xf>
    <xf numFmtId="0" fontId="2" fillId="0" borderId="2" xfId="0" applyFont="1" applyBorder="1" applyAlignment="1">
      <alignment vertical="center"/>
    </xf>
    <xf numFmtId="0" fontId="1" fillId="7" borderId="2" xfId="0" applyFont="1" applyFill="1" applyBorder="1" applyAlignment="1">
      <alignment horizontal="left" vertical="center"/>
    </xf>
    <xf numFmtId="0" fontId="2" fillId="7" borderId="2" xfId="0" applyFont="1" applyFill="1" applyBorder="1" applyAlignment="1">
      <alignment vertical="center"/>
    </xf>
    <xf numFmtId="0" fontId="2" fillId="0" borderId="0" xfId="0" applyFont="1" applyBorder="1" applyAlignment="1">
      <alignment vertical="center"/>
    </xf>
    <xf numFmtId="164" fontId="2" fillId="0" borderId="0"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amazon.com/uxcell-M3x8mm-Machine-Stainless-Fasteners/dp/B07WMGF5B6/ref=sr_1_1_sspa?crid=2D50NLHWQTJU&amp;dib=eyJ2IjoiMSJ9.Gti0kxct-UmmxIyPyYoFZyK2L6T2JLL4hz9nFUjiT9avS7ugn18hDOYSzc1ndGNOXp4Vyl6KBfLIIUwjw7Eex-AfWKKbl87p9n-MKHJ6BFeEl7EH1G-3x3FvBt4uCYLiGmpqb9l_PQ7Ydt1FQ3txFvWaC-susmtqjuvqpJd5g8LsKk2TfCBShpcc3HBJs9WqqFZp9Xxa11iWMbOeFLbBLHWlAMNWICNYdxDbHGy4MNM.MnEK10VKmITuPVNyOlyK5lG8lps_Dfj7ml2kOpCLvRM&amp;dib_tag=se&amp;keywords=m3x8mm%2Bbolts&amp;qid=1726967837&amp;sprefix=m3x8mm%2Bbolts%2Caps%2C69&amp;sr=8-1-spons&amp;sp_csd=d2lkZ2V0TmFtZT1zcF9hdGY&amp;th=1" TargetMode="External"/><Relationship Id="rId18" Type="http://schemas.openxmlformats.org/officeDocument/2006/relationships/hyperlink" Target="https://www.amazon.com/Adafruit-DRV8871-Motor-Driver-Breakout/dp/B06Y4VRXN4?dchild=1&amp;keywords=DRV8871&amp;qid=1622735124&amp;sr=8-1&amp;linkCode=sl1&amp;tag=howto045-20&amp;linkId=efdd2fdff0f69ec6e5a9d5e4afaa8b27&amp;language=en_US&amp;ref_=as_li_ss_tl" TargetMode="External"/><Relationship Id="rId26" Type="http://schemas.openxmlformats.org/officeDocument/2006/relationships/hyperlink" Target="https://www.amazon.com/Bingfu-Rosewill-Gigabyte-Wireless-Security/dp/B082SHKT3Q/ref=sr_1_3?crid=1LE7OKKP33TH1&amp;dib=eyJ2IjoiMSJ9.ES-Y53VUZO1kxUrriaILPNLHGluUJTFCeyuBMD5K_0MRkYherNDr5OVI0DAkLTx4i2BIXf-cZWSdPFZa2VOsby4roGbXhs8qnZxC-uzvpav-Wgs7Byuv-IrlphTpQDbQ7m0749f11G1eHVcF1pFYVx8NasRY9VQTWF1v8rps5egaVux_l63doLlqwv80JFBtVjXztXcqHgP2OtlxKB94NtdNSKdiPaz-MfARjvYcDE4.jt_E3wWjttK_dQAeFhAbe_QLTjVLRcAhlghoaQuVQvE&amp;dib_tag=se&amp;keywords=2.4%2F5%2Bghz%2Brp-sma%2Bdual-band%2Bantenna&amp;qid=1728496258&amp;sprefix=2.4%2F5%2Bghz%2Brp-sma%2Bdual-band%2Bantenna%2Caps%2C81&amp;sr=8-3&amp;th=1" TargetMode="External"/><Relationship Id="rId3" Type="http://schemas.openxmlformats.org/officeDocument/2006/relationships/hyperlink" Target="https://www.amazon.com/uxcell-Groove-Bearing-Double-Bearings/dp/B07FVXYXMZ?crid=2P4N44WTMGOZ5&amp;keywords=bearing%2B624&amp;qid=1679320982&amp;sprefix=bearing%2B62%2Caps%2C244&amp;sr=8-3&amp;linkCode=sl1&amp;tag=howto045-20&amp;linkId=614796bdacd5fcf666ac66a3cce3b196&amp;language=en_US&amp;ref_=as_li_ss_tl&amp;th=1" TargetMode="External"/><Relationship Id="rId21" Type="http://schemas.openxmlformats.org/officeDocument/2006/relationships/hyperlink" Target="https://www.amazon.com/Flysky-FS-i6X-Transmitter-FS-iA6B-Receiver/dp/B0744DPPL8?dchild=1&amp;keywords=Flysky+I6X+FS-i6X+10CH&amp;qid=1622735578&amp;sr=8-8&amp;linkCode=sl1&amp;tag=howto045-20&amp;linkId=7cfcfc973fe6b8febec9fde94785c6e6&amp;language=en_US&amp;ref_=as_li_ss_tl" TargetMode="External"/><Relationship Id="rId34" Type="http://schemas.openxmlformats.org/officeDocument/2006/relationships/hyperlink" Target="https://www.amazon.com/AmazonBasics-Performance-Alkaline-Batteries-Count/dp/B00MNV8E0C/ref=sr_1_5?crid=1HQP1C392ENRC&amp;dib=eyJ2IjoiMSJ9.6FtahI698PDGTBOwHsupqB1aCiPKVvTTKWAfBY3FmHzdht0cJRFXvMc2ehsyFcojyHHLFEf2pXFSV8cEXS0e7li4Z8ONoWKxMTMqs8J6-1ZJepY2wltm4X6mW2H7CzjCJpPwXgj0_Kxqc5s8vrSkvSuP_g-rolRR4b6grPivsfqP0RJ_hAFLpCTCr2NedudZuD0fdsd1OgQL0D9BMHdIiZHLp3yQmon575Ao6zxHbiC9bFCCWTCCYHaHf9X1IU3BvxP9votvd0RkwX7n-pLIIHXS_a5q28o89vatxPNrslA.DVrfl7RsQYaizhsKnqTSH19hbuVCwDsLlfx1v6pFVL4&amp;dib_tag=se&amp;keywords=aa%2Bbatteries&amp;qid=1731277723&amp;rdc=1&amp;sprefix=aa%2Caps%2C84&amp;sr=8-5&amp;th=1" TargetMode="External"/><Relationship Id="rId7" Type="http://schemas.openxmlformats.org/officeDocument/2006/relationships/hyperlink" Target="https://www.amazon.com/HELIFOUNER-Screws-Washers-Kit-Stainless/dp/B0BMQ5Z96H/ref=sr_1_8?crid=1R7CEM80NVV4H&amp;dib=eyJ2IjoiMSJ9.2XdcTYOBE0veKn5cHOvwh8gNdkm9btja0HNHK5D20v1g0pQ18DNmfZW1gznaO2AoIXKAG1mHGtKek9fCGrzp3ZPvN2Uh47vzLME-Dsmg9G4q3kfFrcEsIRElj0hgUTXhrsvkm2HiNzu0Bg1hrGb3LIfpimBJ2TnmvwZJwYTPju_1VyEURI7D2DIuSVIeT8ZsQo39BPGFvKyibo9NUEkfYh5kB_TPa5PtA14Rzm7S1BU.QVuFVaXuvYu715ZAEKGPKNHEY4HYhWyFxPvDkemO4do&amp;dib_tag=se&amp;keywords=m3x25mm%2Bbolts&amp;qid=1726965747&amp;sprefix=m3x25mm%2Bbolts%2Caps%2C90&amp;sr=8-8&amp;th=1" TargetMode="External"/><Relationship Id="rId12" Type="http://schemas.openxmlformats.org/officeDocument/2006/relationships/hyperlink" Target="https://www.amazon.com/M3x10mm-Socket-Screws-Thread-stainless/dp/B077Y11MG2/ref=sr_1_3?crid=SLKJD8QJ4UJ1&amp;dib=eyJ2IjoiMSJ9.qdT2JN0NcN-0qrytfMyRoJNdkOx35nsKo3BpN2H14MSlqGDuezGe9pjUiz6-rDpND1KyVeh2ZEmgyN_e0mChEzx5VTBNp0hIzeCZ5925aQ7EISCalVAoVDaQ-_X7iWTJdlbzFh_FM9JBFlOC_II8vAO0m5FGHVKaDgxaxAQ2rTtmxeUJK_xZZAgAkqf1eeT1nwrfcBywMP2WWO1VKlQe5uGTqFHvFxmMMrq3HnQa2Zo.db8szTdXpP1Z_xynLN4KbyiFgx1wmw9xkAiZfF16Pr0&amp;dib_tag=se&amp;keywords=m3x10mm%2Bbolts&amp;qid=1726967736&amp;sprefix=m3x10mm%2Bbolts%2Caps%2C88&amp;sr=8-3&amp;th=1" TargetMode="External"/><Relationship Id="rId17" Type="http://schemas.openxmlformats.org/officeDocument/2006/relationships/hyperlink" Target="https://www.amazon.com/Adafruit-DRV8871-Motor-Driver-Breakout/dp/B06Y4VRXN4?dchild=1&amp;keywords=DRV8871&amp;qid=1622735124&amp;sr=8-1&amp;linkCode=sl1&amp;tag=howto045-20&amp;linkId=efdd2fdff0f69ec6e5a9d5e4afaa8b27&amp;language=en_US&amp;ref_=as_li_ss_tl" TargetMode="External"/><Relationship Id="rId25" Type="http://schemas.openxmlformats.org/officeDocument/2006/relationships/hyperlink" Target="https://www.amazon.com/Superbat-Wireless-Repeater-Extension-Bulkhead/dp/B09VPGF2WZ/ref=sr_1_1_sspa?crid=1CEFLGLNJVK2N&amp;dib=eyJ2IjoiMSJ9.O9cnWvBSCdeya60ZC8xlFnr_UiVennaAnKKInEpGHwFc2t8Men574XzfwM-_o9zukSi1LILMLaa0qJquDeB3L9ks0nPEcVWly1-GpMZImPvGoqdoXyLXFZVtVPYpM3oLzQKCJgSV0CwPVTIFUpFzKLpVO_zEog0VjswvHDmL2fbYOvZOrZv-3Bk3A2qhC4f5oo9gNtCSFXVfwA3h8hrFr5rpY19y2H9pTaLqiJcfivc.uOB6vAKpD13d74J0LTAaNl3URc4ptR9m6SJ10ubkgkE&amp;dib_tag=se&amp;keywords=u.fl%2Bto%2Brp-sma%2Bpigtail%2Bcable&amp;qid=1728496314&amp;sprefix=u.fl%2Bto%2Brp-sma%2Bpigtail%2Bcable%2Caps%2C98&amp;sr=8-1-spons&amp;sp_csd=d2lkZ2V0TmFtZT1zcF9hdGY&amp;th=1" TargetMode="External"/><Relationship Id="rId33" Type="http://schemas.openxmlformats.org/officeDocument/2006/relationships/hyperlink" Target="https://www.amazon.com/DaierTek-Waterproof-Toggle-Position-Terminal/dp/B07T6XWZKN/ref=sr_1_2_sspa?crid=18E6HVHAMRGAW&amp;dib=eyJ2IjoiMSJ9.U6DeqVsNukOmjPf4ZQ1XOeP-3jZO_QudnJ0a0hRQz0pkwZSg5iwrc-sLxhdMNIVN4SV04lrOHCWK5XwYPzzgxaBTUuQ4vaYAuWjZcmiad9uemADh1mhE3Z6bWSh2EV1O06-cB-F0QVcQQo81eXy5VZqvO03v0XCOpXR1dgPdn83D3yMWNSY2aEqh3mRReL21__XGsyOpDMGDR4hODpbgmHXtJFUHY-JtzmE9-JwGyi8.EmNpUNbhvGS7CPMF9M4sdxpVTL5v6U61VlWvN74rH6E&amp;dib_tag=se&amp;keywords=toggle%2Bswitch&amp;qid=1731272334&amp;sprefix=toggle%2Bswitch%2Caps%2C88&amp;sr=8-2-spons&amp;sp_csd=d2lkZ2V0TmFtZT1zcF9hdGY&amp;th=1" TargetMode="External"/><Relationship Id="rId2" Type="http://schemas.openxmlformats.org/officeDocument/2006/relationships/hyperlink" Target="https://www.amazon.com/uxcell-Compression-Stainless-Compressed-Capacity/dp/B08VDKPVH1?crid=9HPE0AZE1YJ7&amp;keywords=spring%2B7mm%2B35mm&amp;qid=1679325797&amp;sprefix=spring%2B7mm%2B35m%2Caps%2C197&amp;sr=8-4&amp;th=1&amp;linkCode=sl1&amp;tag=howto045-20&amp;linkId=64aebad7baed673caf12a6052d1802fd&amp;language=en_US&amp;ref_=as_li_ss_tl" TargetMode="External"/><Relationship Id="rId16" Type="http://schemas.openxmlformats.org/officeDocument/2006/relationships/hyperlink" Target="https://www.amazon.com/Sortfle-200RPM-Diameter-Gearbox-Respooler/dp/B0D2N7QHPY/ref=sr_1_8?crid=PKO99XEJOR8H&amp;dib=eyJ2IjoiMSJ9.mGKcq0vAgqjNzh8v0eP9sOFErNE-suYUaKgsDwTlSJHX_m_9_QnaS3uTN__0hIf3SsxusPLYFo_HIr5mVGtsPQYCt1B47q1fqEPEZYNQpJW6yv0mXDh50ZU_9bkpfZgHjZoSYPEUiDVaCgsPP8pJz86RFootZqg-9UFysbByixXfzgKH1dXQHysWiJLI51NWRagYtAUOa0O9sQ3NKD3FVmuyuFkvKvMg9nlkCuCUNsb4zlxRpsYcY8tATEiKt5m6rgW8t2jhWejBnbD5aTeqt6Leh0ME0h-t1KIdEpw1n6M.0GTHLr0GX4wvecHw87jy07OJmJMgZATzqBrNRw411sQ&amp;dib_tag=se&amp;keywords=12V%2BDC%2BMotor%2B37mm%2B250%2Brpm&amp;qid=1726968828&amp;sprefix=12v%2Bdc%2Bmotor%2B37mm%2B250%2Brpm%2Caps%2C67&amp;sr=8-8&amp;th=1" TargetMode="External"/><Relationship Id="rId20" Type="http://schemas.openxmlformats.org/officeDocument/2006/relationships/hyperlink" Target="https://www.amazon.com/Yiqigou-Connector-Adapter-Housing-Silicone/dp/B07RGKJ3XQ/ref=sr_1_4?crid=35ZQ79L9Z3MY0&amp;dib=eyJ2IjoiMSJ9.ZOrJAcaFTAgCi8iF0WZYsPUbdxmj_woywbDrer5WB9gIoYci6dJNDvRtO8vsitXDM4ASvBoQkLVntVJ34AkM-accR8BN920hf3-ssrBWiCMGecyewwGScOW6xEHmWSwPgUR-jnuw0oyKkFzbtD-grwXNjrq4qxfg7Wf6n2tNvUSXM-QqZtz2cNSFL2K_eL6ruMZopy0grR2hz3rfBiDoTFd7Tw_TUydfYF9Oibqr_I6_qkB58whvWfLJCvsMmc-5AXM68lR3rJI6WDl0_vLH6OoqH_y3icuD1Fvq8xcFu-Y.njV3Z-72cc3Z_PqtOCmiVruvLvr9lk6LT5FF6jlprB0&amp;dib_tag=se&amp;keywords=4pcs+XT60+Plug+Male+Female+Connector+with+Sheath+Housing+Connector+with+150mm+12AWG+Silicon+Wire+for+RC+Lipo+Battery+FPV+Drone&amp;qid=1726971094&amp;sprefix=4pcs+xt60+plug+male+female+connector+with+sheath+housing+connector+with+150mm+12awg+silicon+wire+for+rc+lipo+battery+fpv+drone%2Caps%2C70&amp;sr=8-4" TargetMode="External"/><Relationship Id="rId29" Type="http://schemas.openxmlformats.org/officeDocument/2006/relationships/hyperlink" Target="https://www.amazon.com/iExcell-Stainless-Socket-Screws-Wrench/dp/B089KTD5G3/ref=sr_1_1?dib=eyJ2IjoiMSJ9.FmHTKubS8VUTQGT5s59ZSpOOmLUUiC2gYHXZEYdlVgiDUpkSvKztc4YF4NJz7U36zVTzo98SzZfUVTRF1mgaqDJy0WZT5sj8YdMCApR4tNnTcvpwyldfCAnFNzsNm_rW1NTOt7E9NFWPgYn_XjpEwnMEVvSnvpan8avypRoDzT-sZSYi-aOwfbOQjlhK_eAXt4cAY_yzSnHcqSPC-18myPZMys0tQdMGvISEZZjmXeg.xesjC40WMnMrlPCFSuKYYnBk3AI3ZL02wqvVwECkOXY&amp;dib_tag=se&amp;keywords=iexcell+100+pcs+m3+x+15mm+thread+pitch+0.5+mm+stainless&amp;qid=1729456934&amp;sr=8-1" TargetMode="External"/><Relationship Id="rId1" Type="http://schemas.openxmlformats.org/officeDocument/2006/relationships/hyperlink" Target="https://www.amazon.com/dp/B0B4CN66YT?pd_rd_i=B0B4CLGCX3&amp;pd_rd_w=1meNL&amp;content-id=amzn1.sym.0d1092dc-81bb-493f-8769-d5c802257e94&amp;pf_rd_p=0d1092dc-81bb-493f-8769-d5c802257e94&amp;pf_rd_r=CSS7S2SMTJMQE07YS0KP&amp;pd_rd_wg=tLNS5&amp;pd_rd_r=ff3737e3-2bf9-4180-8fac-b46f8fd8321a&amp;s=toys-and-games&amp;sp_csd=d2lkZ2V0TmFtZT1zcF9kZXRhaWwy&amp;smid=A3GDAG528VLM&amp;spLa=ZW5jcnlwdGVkUXVhbGlmaWVyPUExRDNWUU1BTllJUUk1JmVuY3J5cHRlZElkPUEwMzAyNzM0S09VVVJEWVZLNFRYJmVuY3J5cHRlZEFkSWQ9QTA4MjY2OTBWSzM5UzgxQTVTTDUmd2lkZ2V0TmFtZT1zcF9kZXRhaWwyJmFjdGlvbj1jbGlja1JlZGlyZWN0JmRvTm90TG9nQ2xpY2s9dHJ1ZQ&amp;th=1&amp;linkCode=sl1&amp;tag=howto045-20&amp;linkId=f0399f2b7da059d2e64d6f9deb2278f7&amp;language=en_US&amp;ref_=as_li_ss_tl" TargetMode="External"/><Relationship Id="rId6" Type="http://schemas.openxmlformats.org/officeDocument/2006/relationships/hyperlink" Target="https://www.amazon.com/Cicidorai-Socket-Screws-Threaded-Assortment/dp/B09XWM8Y28/ref=sr_1_2_sspa?crid=XHF6M4LHL78S&amp;dib=eyJ2IjoiMSJ9.9vYwLgJRbXhgFbgGV7U3iXkJZVoS7jbSKYlm6R197TUXXHU6iKtigonEQrZVvk6IejRVP2kwp02GNH-0rlZ4-r8eWEte0w0RPr0zx9FHwwm5wXyt1LkfkkbrMXg7rnrvXZwVeLlBY0N48gUohQj3mxge4sWPWXwXZGnrxXJFZoKTrVuo4UCjySELGy88lNuD6r75V9dlxggwP6XMm5c4jMHeClMz7NONptHcQ4S65is.zNOaa2dc52ko30Fgo7pJPNbE5ByAsY7jjrx4pgQ_ql8&amp;dib_tag=se&amp;keywords=m4x40mm%2Bbolts&amp;qid=1726965541&amp;sprefix=m4x40mm%2Bbolts%2Caps%2C86&amp;sr=8-2-spons&amp;sp_csd=d2lkZ2V0TmFtZT1zcF9hdGY&amp;th=1" TargetMode="External"/><Relationship Id="rId11" Type="http://schemas.openxmlformats.org/officeDocument/2006/relationships/hyperlink" Target="https://www.amazon.com/Screws-M3x14mm-Button-Socket-Stainless/dp/B0CBK9MQSM/ref=sr_1_6?crid=2N4S494W1QZL8&amp;dib=eyJ2IjoiMSJ9.GByEoeFoXt7DKMLqlrQoIA_XuP61Ua6aK1tlFF8GeVkSrz-YqdZALcre1bAv8GDDxQMKPuHQBRnc2_U6CprVPic5EaU-PslM5pMQZXeyjjH2s-QQ_bzJkxqL0v0_BjEAbgRZm_IZxe5A5VkE7wpxKjHsAVGN5hc26Fc4EtqqFqFQPJu3DCZkItU44bpWRLotVFMZZQaMtFmbYsfkIAxkTFGQBqO4BNUfM9SzHx0NV4A.YLT-ASjtHj_JpniIGHmKVdsvd7GaZL6C45CaTQUzYRw&amp;dib_tag=se&amp;keywords=m3x14mm%2Bbolts&amp;qid=1726967391&amp;sprefix=m3x14mm%2Bbolts%2Caps%2C68&amp;sr=8-6&amp;th=1" TargetMode="External"/><Relationship Id="rId24" Type="http://schemas.openxmlformats.org/officeDocument/2006/relationships/hyperlink" Target="https://www.amazon.com/Brass-Welding-Brazing-Punches-Handle/dp/B09VSGDW9V/ref=sr_1_5?crid=12V46ERZRS9HY&amp;dib=eyJ2IjoiMSJ9.vqPqoi_6TpkW9M7h3xgosn9PfUnpSiU-6DyxC4gd5UHgqZZZsGOuquhtH9pbVgsD5J3TTOXU1ex84ETYT1_ap6WHElr3Z7uqlZ5ju-WBPITk7EKHgh_nMmM-n0yI04Bp2swQxvMhwCMi3H3nc7m_tm6WRumqBYem5H0u0SlVihMTWijRRErv8unAzl42v1GerMmZK6aZjUOrGPtxkjxPXJLe4jh11tqX2Aojkc6pDepZoMPZAbZLLfq6elX_hwQqPI-rVlGdiPSQLhMKp5h-lTJdrItdQ0vXo2H-1mBu9CQ.vU1plWTWNELAjDZJH-UdWF3hsmRVf_3qlcNYdLJMWCg&amp;dib_tag=se&amp;keywords=2mm%2Bwelding%2Brods&amp;qid=1727350644&amp;sprefix=2mm%2Bcopper%2Bwelding%2Brods%2Caps%2C158&amp;sr=8-5&amp;th=1" TargetMode="External"/><Relationship Id="rId32" Type="http://schemas.openxmlformats.org/officeDocument/2006/relationships/hyperlink" Target="https://www.pcbway.com/QuickOrderOnline.aspx?projectid=13827&amp;issmt=0" TargetMode="External"/><Relationship Id="rId5" Type="http://schemas.openxmlformats.org/officeDocument/2006/relationships/hyperlink" Target="https://www.amazon.com/AJOYIB-Threaded-Knurled-Embedment-Printing/dp/B096MD67WB?crid=1I711K0UAI0TQ&amp;keywords=threaded%2Binserts&amp;qid=1639878419&amp;sprefix=threaded%2Binserts%2Caps%2C352&amp;sr=8-2-spons&amp;spLa=ZW5jcnlwdGVkUXVhbGlmaWVyPUExRFFISUNURjMyMU5LJmVuY3J5cHRlZElkPUEwMzk0NjM1OE1ZSVAxTDhOVkgwJmVuY3J5cHRlZEFkSWQ9QTA4MTYzNTMzR1lYWDBWSkNZNDVRJndpZGdldE5hbWU9c3BfYXRmJmFjdGlvbj1jbGlja1JlZGlyZWN0JmRvTm90TG9nQ2xpY2s9dHJ1ZQ&amp;th=1&amp;linkCode=sl1&amp;tag=howto045-20&amp;linkId=14d56c9a87daab1b7b5ab19e16a87fce&amp;language=en_US&amp;ref_=as_li_ss_tl" TargetMode="External"/><Relationship Id="rId15" Type="http://schemas.openxmlformats.org/officeDocument/2006/relationships/hyperlink" Target="https://www.amazon.com/Litoexpe-Stainless-Outside-Diameter-Thickness/dp/B0BGLB6DD2/ref=sr_1_6?crid=34M5UAWIO2LUT&amp;dib=eyJ2IjoiMSJ9.GbamPSwWuIGWn94oApcz0zwXvO8nVkHjAP_0EWGFoHM0BdZNxXsqBBIvtvxzNRETuKWsjc5cn64gi-vAn3RMj4SckXrXAEDO-j-8W4mmotvkh0P9RC5nrLDoSpviyHJy4KlfBiNZmJDwe2swov9bc2tsPTM0Kv7bs_eSllRfiZ0OajOowWfw0QSaMkMDzlArd8oePqDvc_G_4Sb9o00_-_56Cm8AIvn3GK1xZLP6j7o.WWjWHQ-4ANRkcP0QfLkKe-nCpAmxGRnp_r99ODnfabk&amp;dib_tag=se&amp;keywords=m4%2Bwashers&amp;qid=1726968177&amp;sprefix=m4%2Bwashers%2Caps%2C85&amp;sr=8-6&amp;th=1" TargetMode="External"/><Relationship Id="rId23" Type="http://schemas.openxmlformats.org/officeDocument/2006/relationships/hyperlink" Target="https://www.amazon.com/Navigation-Positioning-Microcontroller-Compatible-Sensitivity/dp/B0B31NRSD2/ref=sr_1_3?crid=3C7YNOH2NCHDS&amp;dib=eyJ2IjoiMSJ9.yXH77nsCHh6WVOgqLX6CCtaPx4AvHaryrk1uurncM0dcppYNumU6GiLFU1qahB_NVdRmyx6xzKtzr1AA6vIgTqAJbF6oWsLiwGquYNT1Lru1fE3GyEDZp388Adgc2W5RSkz4dqvXDDCd8mGjAjjLNA.ElvtBmwRb8kqrucQ-KJuCgMTTig4K_C_JEwAhLUOQE0&amp;dib_tag=se&amp;keywords=u-blox+neo-m8n&amp;qid=1727282847&amp;sprefix=u-blox+neo-m8n%2Caps%2C98&amp;sr=8-3" TargetMode="External"/><Relationship Id="rId28" Type="http://schemas.openxmlformats.org/officeDocument/2006/relationships/hyperlink" Target="https://www.amazon.com/DSD-TECH-Adapter-FT232RL-Compatible/dp/B07BBPX8B8/ref=sr_1_1?crid=3JTF9W7OVURR8&amp;dib=eyJ2IjoiMSJ9.anULjEF5i61NIsZ2r9_LXojGb-PsZDJ8J8aWFNwX8-CcRg3ysHyfb5gMpganH5I3MFyq8BhMv_pWP-g3Di5k4hCJMVdTzacQAuvfTgCrJ1C2eQ_plh2siDz950n80CtXdzP2WMfm326BwDSewgY7rmDWbP0Wg-27_YY35JOrSkkHtonKDoSQk3k3_WoVOjZwyNZwikfDdm4EViDjOFjtU3W3A1rBRfkAlup1f_7BtAg.l163pZSxOpftArqT-WAn2ZiPMt6wM7lSsc-ewU54g84&amp;dib_tag=se&amp;keywords=ftdi+usb+to+ttl+serial+adapter&amp;qid=1728498163&amp;sprefix=ftdi+usb+to+ttl+serial+adapter%2Caps%2C96&amp;sr=8-1" TargetMode="External"/><Relationship Id="rId36" Type="http://schemas.openxmlformats.org/officeDocument/2006/relationships/hyperlink" Target="https://www.amazon.com/Hilitchi-120-Pcs-Multiturn-Potentiometer-Assortment/dp/B07146ZJJ3/ref=sr_1_1?crid=2R5VLFCP4HL0F&amp;dib=eyJ2IjoiMSJ9.ZWP29d9w25RntK1xkyvufGG1rALPdhEfcdwlQXRuc0rdL_nq-gBpagHLnGNlrZ85rjR5iWN2ufIMGf9tQa7uIi4ogAuGrk807WR1E0oPE6HoLU1NElMzptczDR8Lg0f_YrpLTQahWswhhb_P5seqai2fyiEIylizTqhEWIn80wOUblPaIZGJJzV_YQqMT9weC2Fmt6wbGw8cfZ6l1lrhg1EW1HtIsa7l_D9PRvV_J2M.HwwqqxjErjCZIijriNQHLmfsOyMAIjFD9aZQ7fUlXaM&amp;dib_tag=se&amp;keywords=hilitchi+3296w&amp;qid=1732388934&amp;sprefix=hilitchi+3296w%2Caps%2C53&amp;sr=8-1" TargetMode="External"/><Relationship Id="rId10" Type="http://schemas.openxmlformats.org/officeDocument/2006/relationships/hyperlink" Target="https://www.amazon.com/Arduino-Giga-R1-WiFi-ABX00063/dp/B0BTTRZ9TB/ref=sr_1_3?crid=209SYWKYM4C4L&amp;dib=eyJ2IjoiMSJ9.dyD-QpmTZIoLUGA0ubak65-xcef6XuoQyIZwe1Ubz0aMme525eDuvoMMdwQvyD2Trl1knPPvy8JhCZcB1s2aXyK1biE6n-zsaIM3MIjHZLD-SUr9tJV_IMMc97AWK5A-CD3X5V2XkN7JLSncDOy57ywHxqYGHWAdo3L7TZ-YiBn1ObF_GnSZe5Zfz0McWQoqMFkRnMmaCZNM--5MePwH9EqmNU3ixovwMjaXPo8nNhQ.X3rqBqpYFnvRpusUIezlLbOr1pTyFKTTsyuumvNtMiA&amp;dib_tag=se&amp;keywords=arduino+giga&amp;qid=1726966727&amp;sprefix=arduino+giga%2Caps%2C95&amp;sr=8-3" TargetMode="External"/><Relationship Id="rId19" Type="http://schemas.openxmlformats.org/officeDocument/2006/relationships/hyperlink" Target="https://www.amazon.com/HRB-5000mAh-Battery-11-1V-Compatible/dp/B0BYRJ18S5/ref=cm_cr_arp_d_product_top?ie=UTF8" TargetMode="External"/><Relationship Id="rId31" Type="http://schemas.openxmlformats.org/officeDocument/2006/relationships/hyperlink" Target="https://www.amazon.com/Assortment-Furniture-Electronic-Bathroom-Stainless/dp/B0DG33R714/ref=sr_1_2_sspa?crid=2MT9XFXS7UGJ8&amp;dib=eyJ2IjoiMSJ9.OYsA6uOwkHjHtmDVieaTVNEsPmIFY-ZE8x8ghvstYgwm7ZjBd7uFp2zUAqTdc94qSzGTPbCG2nuuUcAQgZtrlbccRZVOqdyeeJm4wy6ADz1cqnHhYuKorw8AnNHEMeAw5Nx5umTk9kkxvtH9tYdmPxlnEh35kvWPWXPk0px2qUMhlTZCmCcYFwA33YoM_DfwND-9Zgl_ljf_bsT6zI9dBB7KAApjWGytzO_c0UnZITc.L6GovtwwM8a32g7cLVb6fJiND7H2Mx7DsgABnQNQMM0&amp;dib_tag=se&amp;keywords=entry%2Bgrub%2Bscrew&amp;qid=1729710486&amp;sprefix=entry%2Bgrub%2Bscrew%2Caps%2C67&amp;sr=8-2-spons&amp;sp_csd=d2lkZ2V0TmFtZT1zcF9hdGY&amp;th=1" TargetMode="External"/><Relationship Id="rId4" Type="http://schemas.openxmlformats.org/officeDocument/2006/relationships/hyperlink" Target="https://howtomechatronics.com/projects/fully-3d-printed-tank-tracked-robot-platform/" TargetMode="External"/><Relationship Id="rId9" Type="http://schemas.openxmlformats.org/officeDocument/2006/relationships/hyperlink" Target="https://www.amazon.com/uxcell-M3x12mm-Machine-Stainless-Fasteners/dp/B07WJKPCZY/ref=sr_1_1_sspa?crid=1KDYIIE7G93V8&amp;dib=eyJ2IjoiMSJ9.320cGbPDyV-bxBLPrrWVfnxy9J84o26VN2W3cXoWNtnMr-4wBgWhb4b3nVJZUCYsW3CNVB0RIMv1jutfyz2m28KlvhLPPY5Xo-E6h3gKpChfb5SZqo0xAev1wg6fZvBR-2ATCOZkRNMXmuaIttOZTMfoqfQFfFsCew7w226xnhR8o-5CCMU1ZgwN3V7CRdnouHX4Md24HKE3olI4KRIlNRXasPwijUNufJ9TpGhHyGw.RZgUur4oZuC11Us5EEyCEeOHsdGNaz1plhFd0AtJnAY&amp;dib_tag=se&amp;keywords=m3x12%2F14mm%2Bbolts&amp;qid=1726966578&amp;sprefix=m3x12%2F14mm%2Bbolts%2Caps%2C77&amp;sr=8-1-spons&amp;sp_csd=d2lkZ2V0TmFtZT1zcF9hdGY&amp;th=1" TargetMode="External"/><Relationship Id="rId14" Type="http://schemas.openxmlformats.org/officeDocument/2006/relationships/hyperlink" Target="https://www.amazon.com/M4-0-7-Stainless-Thread-Bright-Finish/dp/B08Y8PCXMH/ref=sr_1_4?crid=21WZ19WN7MCRU&amp;dib=eyJ2IjoiMSJ9.I0oMVt84XvMW_E0jMyDRPG4o3RpLBVfoqnI3520_9AZW53sTECd-HrwnMTmV6kyhOErZyw4Y_gmwdAX_AOLP9sUA2XMsjD4AqWTHSxX57RHKgJidpin_wGX1sNXC1BvYEMrlKxo-KgYcCiSddEzsc5G5muWVb-ADXr8A1_8Dd8H15TGaIRsoanyO5riQztCepLjL4vmQQk4gDlGWO84vEWUTZ8NEVBfnG_Vq2YV3zkE.kWV2SD2XmtMCVkIrT91nXi3NOusGhnQ0PMGuPeJmISk&amp;dib_tag=se&amp;keywords=m4%2Bnuts%2Bfull%2Bthread&amp;qid=1726968061&amp;sprefix=m4%2Bnuts%2Bfull%2Bthread%2Caps%2C75&amp;sr=8-4&amp;th=1" TargetMode="External"/><Relationship Id="rId22" Type="http://schemas.openxmlformats.org/officeDocument/2006/relationships/hyperlink" Target="https://www.amazon.com/Cylewet-Cylindrical-Electret-Condenser-Microphone/dp/B01N0VMN9P/ref=sr_1_5?crid=2OO8ZTCZ2U105&amp;dib=eyJ2IjoiMSJ9.3oaWBX7iGwA10kDWHD4tLVOslvCEHIgu4jvCR6agkincehlh7ksOH2x8jF9r3vCdO38hdQe7AUeGrklqC8IVFWEI-tygclKZ3cbmsy1Hg1g0kjlisgPdswW_z60OdvP_vNzzQXnVLr1hHnjDdDRF4ZuT093lNpMXpzAP0APl3cwhMw-JlpHxx6LML0uy2n-j0idPqDgAmLUnondrDFWgJAk92R_-oTxhYxh2w9jELdR_NaEQ1s-L16a6Rgw5lgcXKsZHIyaFkuqGhaQdpux7WTZ64GU1W3yaFD2Ow2x5qV8.4DypU8Bg7Q8XJRMerIlxQsYYHuALTzmv0SFvvh7vw1Y&amp;dib_tag=se&amp;keywords=10+pcs+cylindrical+electret+condenser+microphone&amp;qid=1727189033&amp;sprefix=10+pcs+cylindrical+electret+condenser+microphone%2Caps%2C83&amp;sr=8-5" TargetMode="External"/><Relationship Id="rId27" Type="http://schemas.openxmlformats.org/officeDocument/2006/relationships/hyperlink" Target="https://www.amazon.com/YEJMKJ-Development-ESP32-CAM-Bluetooth-ESP32-CAM-MB/dp/B0CDRNJKSF/ref=sr_1_1_sspa?crid=3NOIVNPRDSJFS&amp;dib=eyJ2IjoiMSJ9.nSpd6GkjsQzkhWTmAKlVSQjUaeOo8rdTgIN2dudJim0LSKaF2md_TKhoc9RTDixQ729MEGlP8OBVd92R4oQ8kLYXNmPTCubSGl5Usm5jjwM8xKtbQpIrw5bB_z98uh26Ex8XThET_ZwdPUydVwuzsjQpS95FAJVWpeXBq3BSWpFUM6aAwlUefxTpYmVsdtaYy51NDbm_Sgu4wDfBaLkDkWRp6lA67B82L3zUYnkMP98.atU7fdLsEe5JUwihLp4-Fh45lzLMqZwazebdWw-LX20&amp;dib_tag=se&amp;keywords=esp32-cam%2Bwifi%2Bmodule%2Bwith%2Bov2640%2Bcamera&amp;qid=1728497505&amp;sprefix=esp32-cam%2Bwifi%2Bmodule%2Bwith%2Bov2640%2Bcamera%2Caps%2C81&amp;sr=8-1-spons&amp;sp_csd=d2lkZ2V0TmFtZT1zcF9hdGY&amp;th=1" TargetMode="External"/><Relationship Id="rId30" Type="http://schemas.openxmlformats.org/officeDocument/2006/relationships/hyperlink" Target="https://www.amazon.com/uxcell-Galvanized-Connectors-Industrial-Construction/dp/B0D7MY4YQ7/ref=sr_1_1_sspa?crid=23N3OWTGDU6W2&amp;dib=eyJ2IjoiMSJ9.LhX1Wf-MWwLqshkQRHW22tUAqOzqsLFnMZH52M4csO4P-LdyvPReQLxnR15M0sAAN38nmIXy9tIHBgMVrlpw4n5wailhS967qeuXgDVwLgvEFWwVNVy-UP3o7JUqhheeYh8NVv0ncuRt0dWJgDW4wK7TcfaU7QtlVM0aR7NKgAQ1L8av3_NoYZCXMkitxiFBBq-nb7ruwJaIv2ODjNfV0aU-heSQfBF29Ayx0mSRegk.rJ_zFzj2pZJtxTCp3fudaau3aS7will7tWiIs4rERUk&amp;dib_tag=se&amp;keywords=uxcell+m3x0.5mm+coupling+nuts%2C+10+pcs+brass+galvanized+hex+rod+coupling+nuts+threaded&amp;qid=1729457737&amp;sprefix=uxcell+m3x0.5mm+coupling+nuts%2C+10+pcs+brass+galvanized+hex+rod+coupling+nuts+threaded%2Caps%2C54&amp;sr=8-1-spons&amp;sp_csd=d2lkZ2V0TmFtZT1zcF9hdGY&amp;psc=1" TargetMode="External"/><Relationship Id="rId35" Type="http://schemas.openxmlformats.org/officeDocument/2006/relationships/hyperlink" Target="https://www.amazon.com/dp/B08TBXQ7H6?psc=1&amp;smid=A2OVMUS055KMW5&amp;ref_=chk_typ_imgToDp" TargetMode="External"/><Relationship Id="rId8" Type="http://schemas.openxmlformats.org/officeDocument/2006/relationships/hyperlink" Target="https://www.amazon.com/DTGN-M3x25mm-Stainless-Machine-Threaded/dp/B0CFV3JK91/ref=sr_1_9?crid=1R7CEM80NVV4H&amp;dib=eyJ2IjoiMSJ9.2XdcTYOBE0veKn5cHOvwh8gNdkm9btja0HNHK5D20v1g0pQ18DNmfZW1gznaO2AoIXKAG1mHGtKek9fCGrzp3ZPvN2Uh47vzLME-Dsmg9G4q3kfFrcEsIRElj0hgUTXhrsvkm2HiNzu0Bg1hrGb3LIfpimBJ2TnmvwZJwYTPju_1VyEURI7D2DIuSVIeT8ZsQo39BPGFvKyibo9NUEkfYh5kB_TPa5PtA14Rzm7S1BU.QVuFVaXuvYu715ZAEKGPKNHEY4HYhWyFxPvDkemO4do&amp;dib_tag=se&amp;keywords=m3x25mm%2Bbolts&amp;qid=1726966117&amp;sprefix=m3x25mm%2Bbolts%2Caps%2C90&amp;sr=8-9&amp;th=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3"/>
  <sheetViews>
    <sheetView tabSelected="1" workbookViewId="0">
      <selection activeCell="P16" sqref="P16"/>
    </sheetView>
  </sheetViews>
  <sheetFormatPr defaultColWidth="11.1796875" defaultRowHeight="15" customHeight="1"/>
  <cols>
    <col min="1" max="1" width="40.6328125" customWidth="1"/>
    <col min="2" max="3" width="25.6328125" customWidth="1"/>
    <col min="4" max="8" width="10.6328125" customWidth="1"/>
    <col min="9" max="26" width="11.08984375" customWidth="1"/>
  </cols>
  <sheetData>
    <row r="1" spans="1:26" ht="12.75" customHeight="1">
      <c r="A1" s="1" t="s">
        <v>0</v>
      </c>
      <c r="B1" s="31" t="s">
        <v>1</v>
      </c>
      <c r="C1" s="32"/>
      <c r="D1" s="32"/>
      <c r="E1" s="32"/>
      <c r="F1" s="32"/>
      <c r="G1" s="32"/>
      <c r="H1" s="32"/>
      <c r="I1" s="32"/>
      <c r="J1" s="32"/>
      <c r="K1" s="33"/>
      <c r="L1" s="2"/>
      <c r="M1" s="2"/>
      <c r="N1" s="2"/>
      <c r="O1" s="2"/>
      <c r="P1" s="2"/>
      <c r="Q1" s="2"/>
      <c r="R1" s="2"/>
      <c r="S1" s="2"/>
      <c r="T1" s="2"/>
      <c r="U1" s="2"/>
      <c r="V1" s="2"/>
      <c r="W1" s="2"/>
      <c r="X1" s="2"/>
      <c r="Y1" s="2"/>
      <c r="Z1" s="2"/>
    </row>
    <row r="2" spans="1:26" ht="12.75" customHeight="1">
      <c r="A2" s="1" t="s">
        <v>2</v>
      </c>
      <c r="B2" s="31" t="s">
        <v>3</v>
      </c>
      <c r="C2" s="32"/>
      <c r="D2" s="32"/>
      <c r="E2" s="32"/>
      <c r="F2" s="32"/>
      <c r="G2" s="32"/>
      <c r="H2" s="32"/>
      <c r="I2" s="32"/>
      <c r="J2" s="32"/>
      <c r="K2" s="33"/>
      <c r="L2" s="2"/>
      <c r="M2" s="2"/>
      <c r="N2" s="2"/>
      <c r="O2" s="2"/>
      <c r="P2" s="2"/>
      <c r="Q2" s="2"/>
      <c r="R2" s="2"/>
      <c r="S2" s="2"/>
      <c r="T2" s="2"/>
      <c r="U2" s="2"/>
      <c r="V2" s="2"/>
      <c r="W2" s="2"/>
      <c r="X2" s="2"/>
      <c r="Y2" s="2"/>
      <c r="Z2" s="2"/>
    </row>
    <row r="3" spans="1:26" ht="12.75" customHeight="1">
      <c r="A3" s="1" t="s">
        <v>4</v>
      </c>
      <c r="B3" s="34">
        <v>45556</v>
      </c>
      <c r="C3" s="32"/>
      <c r="D3" s="32"/>
      <c r="E3" s="32"/>
      <c r="F3" s="32"/>
      <c r="G3" s="32"/>
      <c r="H3" s="32"/>
      <c r="I3" s="32"/>
      <c r="J3" s="32"/>
      <c r="K3" s="33"/>
      <c r="L3" s="2"/>
      <c r="M3" s="2"/>
      <c r="N3" s="2"/>
      <c r="O3" s="2"/>
      <c r="P3" s="2"/>
      <c r="Q3" s="2"/>
      <c r="R3" s="2"/>
      <c r="S3" s="2"/>
      <c r="T3" s="2"/>
      <c r="U3" s="2"/>
      <c r="V3" s="2"/>
      <c r="W3" s="2"/>
      <c r="X3" s="2"/>
      <c r="Y3" s="2"/>
      <c r="Z3" s="2"/>
    </row>
    <row r="4" spans="1:26" ht="12.75" customHeight="1">
      <c r="A4" s="3"/>
      <c r="B4" s="35"/>
      <c r="C4" s="32"/>
      <c r="D4" s="32"/>
      <c r="E4" s="32"/>
      <c r="F4" s="32"/>
      <c r="G4" s="32"/>
      <c r="H4" s="32"/>
      <c r="I4" s="32"/>
      <c r="J4" s="32"/>
      <c r="K4" s="33"/>
      <c r="L4" s="2"/>
      <c r="M4" s="2"/>
      <c r="N4" s="2"/>
      <c r="O4" s="2"/>
      <c r="P4" s="2"/>
      <c r="Q4" s="2"/>
      <c r="R4" s="2"/>
      <c r="S4" s="2"/>
      <c r="T4" s="2"/>
      <c r="U4" s="2"/>
      <c r="V4" s="2"/>
      <c r="W4" s="2"/>
      <c r="X4" s="2"/>
      <c r="Y4" s="2"/>
      <c r="Z4" s="2"/>
    </row>
    <row r="5" spans="1:26" ht="12.75" customHeight="1">
      <c r="A5" s="4" t="s">
        <v>5</v>
      </c>
      <c r="B5" s="4" t="s">
        <v>6</v>
      </c>
      <c r="C5" s="4" t="s">
        <v>7</v>
      </c>
      <c r="D5" s="4" t="s">
        <v>8</v>
      </c>
      <c r="E5" s="4" t="s">
        <v>9</v>
      </c>
      <c r="F5" s="4" t="s">
        <v>10</v>
      </c>
      <c r="G5" s="4" t="s">
        <v>11</v>
      </c>
      <c r="H5" s="4" t="s">
        <v>12</v>
      </c>
      <c r="I5" s="5" t="s">
        <v>13</v>
      </c>
      <c r="J5" s="5" t="s">
        <v>14</v>
      </c>
      <c r="K5" s="5" t="s">
        <v>15</v>
      </c>
      <c r="L5" s="6"/>
      <c r="M5" s="7"/>
      <c r="N5" s="7"/>
      <c r="O5" s="7"/>
      <c r="P5" s="7"/>
      <c r="Q5" s="7"/>
      <c r="R5" s="7"/>
      <c r="S5" s="7"/>
      <c r="T5" s="7"/>
      <c r="U5" s="7"/>
      <c r="V5" s="7"/>
      <c r="W5" s="7"/>
      <c r="X5" s="7"/>
      <c r="Y5" s="7"/>
      <c r="Z5" s="7"/>
    </row>
    <row r="6" spans="1:26" ht="12.75" customHeight="1">
      <c r="A6" s="8" t="s">
        <v>16</v>
      </c>
      <c r="B6" s="8" t="s">
        <v>17</v>
      </c>
      <c r="C6" s="9" t="s">
        <v>18</v>
      </c>
      <c r="D6" s="10">
        <v>4</v>
      </c>
      <c r="E6" s="11">
        <v>5</v>
      </c>
      <c r="F6" s="12">
        <v>19.989999999999998</v>
      </c>
      <c r="G6" s="10">
        <v>2</v>
      </c>
      <c r="H6" s="13">
        <f t="shared" ref="H6:H28" si="0">F6*G6</f>
        <v>39.979999999999997</v>
      </c>
      <c r="I6" s="8" t="b">
        <v>1</v>
      </c>
      <c r="J6" s="14">
        <v>45556</v>
      </c>
      <c r="K6" s="8"/>
      <c r="L6" s="15"/>
      <c r="M6" s="38"/>
      <c r="N6" s="38"/>
      <c r="O6" s="38"/>
      <c r="P6" s="2"/>
      <c r="Q6" s="2"/>
      <c r="R6" s="2"/>
      <c r="S6" s="2"/>
      <c r="T6" s="2"/>
      <c r="U6" s="2"/>
      <c r="V6" s="2"/>
      <c r="W6" s="2"/>
      <c r="X6" s="2"/>
      <c r="Y6" s="2"/>
      <c r="Z6" s="2"/>
    </row>
    <row r="7" spans="1:26" ht="12.75" customHeight="1">
      <c r="A7" s="8" t="s">
        <v>19</v>
      </c>
      <c r="B7" s="8" t="s">
        <v>20</v>
      </c>
      <c r="C7" s="16" t="s">
        <v>21</v>
      </c>
      <c r="D7" s="10">
        <v>20</v>
      </c>
      <c r="E7" s="11">
        <v>0.48</v>
      </c>
      <c r="F7" s="12">
        <v>9.49</v>
      </c>
      <c r="G7" s="10">
        <v>1</v>
      </c>
      <c r="H7" s="13">
        <f t="shared" si="0"/>
        <v>9.49</v>
      </c>
      <c r="I7" s="8" t="b">
        <v>1</v>
      </c>
      <c r="J7" s="14">
        <v>45556</v>
      </c>
      <c r="K7" s="8"/>
      <c r="L7" s="2"/>
      <c r="M7" s="39"/>
      <c r="N7" s="39"/>
      <c r="O7" s="39"/>
      <c r="P7" s="2"/>
      <c r="Q7" s="2"/>
      <c r="R7" s="2"/>
      <c r="S7" s="2"/>
      <c r="T7" s="2"/>
      <c r="U7" s="2"/>
      <c r="V7" s="2"/>
      <c r="W7" s="2"/>
      <c r="X7" s="2"/>
      <c r="Y7" s="2"/>
      <c r="Z7" s="2"/>
    </row>
    <row r="8" spans="1:26" ht="12.75" customHeight="1">
      <c r="A8" s="8" t="s">
        <v>22</v>
      </c>
      <c r="B8" s="8" t="s">
        <v>20</v>
      </c>
      <c r="C8" s="17" t="s">
        <v>23</v>
      </c>
      <c r="D8" s="10">
        <v>40</v>
      </c>
      <c r="E8" s="11">
        <v>0.64</v>
      </c>
      <c r="F8" s="12">
        <v>12.69</v>
      </c>
      <c r="G8" s="10">
        <v>2</v>
      </c>
      <c r="H8" s="13">
        <f t="shared" si="0"/>
        <v>25.38</v>
      </c>
      <c r="I8" s="8" t="b">
        <v>1</v>
      </c>
      <c r="J8" s="14">
        <v>45556</v>
      </c>
      <c r="K8" s="8"/>
      <c r="L8" s="2"/>
      <c r="M8" s="2"/>
      <c r="N8" s="2"/>
      <c r="O8" s="2"/>
      <c r="P8" s="2"/>
      <c r="Q8" s="2"/>
      <c r="R8" s="2"/>
      <c r="S8" s="2"/>
      <c r="T8" s="2"/>
      <c r="U8" s="2"/>
      <c r="V8" s="2"/>
      <c r="W8" s="2"/>
      <c r="X8" s="2"/>
      <c r="Y8" s="2"/>
      <c r="Z8" s="2"/>
    </row>
    <row r="9" spans="1:26" ht="12.75" customHeight="1">
      <c r="A9" s="8" t="s">
        <v>24</v>
      </c>
      <c r="B9" s="18"/>
      <c r="C9" s="18"/>
      <c r="D9" s="10">
        <v>200</v>
      </c>
      <c r="E9" s="11">
        <v>0.47</v>
      </c>
      <c r="F9" s="19">
        <f t="shared" ref="F9:F10" si="1">IF(D9="ea",E9,E9*D9)</f>
        <v>94</v>
      </c>
      <c r="G9" s="10">
        <v>1</v>
      </c>
      <c r="H9" s="13">
        <f t="shared" si="0"/>
        <v>94</v>
      </c>
      <c r="I9" s="8" t="b">
        <v>1</v>
      </c>
      <c r="J9" s="20">
        <v>45566</v>
      </c>
      <c r="K9" s="8"/>
      <c r="L9" s="2"/>
      <c r="M9" s="2"/>
      <c r="N9" s="2"/>
      <c r="O9" s="2"/>
      <c r="P9" s="2"/>
      <c r="Q9" s="2"/>
      <c r="R9" s="2"/>
      <c r="S9" s="2"/>
      <c r="T9" s="2"/>
      <c r="U9" s="2"/>
      <c r="V9" s="2"/>
      <c r="W9" s="2"/>
      <c r="X9" s="2"/>
      <c r="Y9" s="2"/>
      <c r="Z9" s="2"/>
    </row>
    <row r="10" spans="1:26" ht="12.75" customHeight="1">
      <c r="A10" s="8" t="s">
        <v>25</v>
      </c>
      <c r="B10" s="8" t="s">
        <v>26</v>
      </c>
      <c r="C10" s="17" t="s">
        <v>27</v>
      </c>
      <c r="D10" s="10">
        <v>1</v>
      </c>
      <c r="E10" s="11">
        <v>8.75</v>
      </c>
      <c r="F10" s="19">
        <f t="shared" si="1"/>
        <v>8.75</v>
      </c>
      <c r="G10" s="10">
        <v>1</v>
      </c>
      <c r="H10" s="13">
        <f t="shared" si="0"/>
        <v>8.75</v>
      </c>
      <c r="I10" s="8" t="b">
        <v>1</v>
      </c>
      <c r="J10" s="14">
        <v>45561</v>
      </c>
      <c r="K10" s="8"/>
      <c r="L10" s="2"/>
      <c r="M10" s="2"/>
      <c r="N10" s="2"/>
      <c r="O10" s="2"/>
      <c r="P10" s="2"/>
      <c r="Q10" s="2"/>
      <c r="R10" s="2"/>
      <c r="S10" s="2"/>
      <c r="T10" s="2"/>
      <c r="U10" s="2"/>
      <c r="V10" s="2"/>
      <c r="W10" s="2"/>
      <c r="X10" s="2"/>
      <c r="Y10" s="2"/>
      <c r="Z10" s="2"/>
    </row>
    <row r="11" spans="1:26" ht="12.75" customHeight="1">
      <c r="A11" s="8" t="s">
        <v>28</v>
      </c>
      <c r="B11" s="8" t="s">
        <v>29</v>
      </c>
      <c r="C11" s="17" t="s">
        <v>30</v>
      </c>
      <c r="D11" s="10">
        <v>300</v>
      </c>
      <c r="E11" s="11">
        <v>0.05</v>
      </c>
      <c r="F11" s="12">
        <v>15.99</v>
      </c>
      <c r="G11" s="10">
        <v>1</v>
      </c>
      <c r="H11" s="13">
        <f t="shared" si="0"/>
        <v>15.99</v>
      </c>
      <c r="I11" s="8" t="b">
        <v>1</v>
      </c>
      <c r="J11" s="14">
        <v>45556</v>
      </c>
      <c r="K11" s="8"/>
      <c r="L11" s="2"/>
      <c r="M11" s="2"/>
      <c r="N11" s="2"/>
      <c r="O11" s="2"/>
      <c r="P11" s="2"/>
      <c r="Q11" s="2"/>
      <c r="R11" s="2"/>
      <c r="S11" s="2"/>
      <c r="T11" s="2"/>
      <c r="U11" s="2"/>
      <c r="V11" s="2"/>
      <c r="W11" s="2"/>
      <c r="X11" s="2"/>
      <c r="Y11" s="2"/>
      <c r="Z11" s="2"/>
    </row>
    <row r="12" spans="1:26" ht="12.75" customHeight="1">
      <c r="A12" s="8" t="s">
        <v>31</v>
      </c>
      <c r="B12" s="8" t="s">
        <v>32</v>
      </c>
      <c r="C12" s="17" t="s">
        <v>33</v>
      </c>
      <c r="D12" s="10">
        <v>50</v>
      </c>
      <c r="E12" s="11">
        <v>0.2</v>
      </c>
      <c r="F12" s="12">
        <v>9.99</v>
      </c>
      <c r="G12" s="10">
        <v>1</v>
      </c>
      <c r="H12" s="13">
        <f t="shared" si="0"/>
        <v>9.99</v>
      </c>
      <c r="I12" s="8" t="b">
        <v>1</v>
      </c>
      <c r="J12" s="14">
        <v>45556</v>
      </c>
      <c r="K12" s="8"/>
      <c r="L12" s="2"/>
      <c r="M12" s="2"/>
      <c r="N12" s="2"/>
      <c r="O12" s="2"/>
      <c r="P12" s="2"/>
      <c r="Q12" s="2"/>
      <c r="R12" s="2"/>
      <c r="S12" s="2"/>
      <c r="T12" s="2"/>
      <c r="U12" s="2"/>
      <c r="V12" s="2"/>
      <c r="W12" s="2"/>
      <c r="X12" s="2"/>
      <c r="Y12" s="2"/>
      <c r="Z12" s="2"/>
    </row>
    <row r="13" spans="1:26" ht="12.75" customHeight="1">
      <c r="A13" s="8" t="s">
        <v>34</v>
      </c>
      <c r="B13" s="8" t="s">
        <v>35</v>
      </c>
      <c r="C13" s="17" t="s">
        <v>36</v>
      </c>
      <c r="D13" s="10">
        <v>540</v>
      </c>
      <c r="E13" s="11">
        <v>0.02</v>
      </c>
      <c r="F13" s="12">
        <v>9.99</v>
      </c>
      <c r="G13" s="10">
        <v>1</v>
      </c>
      <c r="H13" s="13">
        <f t="shared" si="0"/>
        <v>9.99</v>
      </c>
      <c r="I13" s="8" t="b">
        <v>1</v>
      </c>
      <c r="J13" s="14">
        <v>45561</v>
      </c>
      <c r="K13" s="8"/>
      <c r="L13" s="2"/>
      <c r="M13" s="2"/>
      <c r="N13" s="2"/>
      <c r="O13" s="2"/>
      <c r="P13" s="2"/>
      <c r="Q13" s="2"/>
      <c r="R13" s="2"/>
      <c r="S13" s="2"/>
      <c r="T13" s="2"/>
      <c r="U13" s="2"/>
      <c r="V13" s="2"/>
      <c r="W13" s="2"/>
      <c r="X13" s="2"/>
      <c r="Y13" s="2"/>
      <c r="Z13" s="2"/>
    </row>
    <row r="14" spans="1:26" ht="12.75" customHeight="1">
      <c r="A14" s="8" t="s">
        <v>37</v>
      </c>
      <c r="B14" s="8"/>
      <c r="C14" s="17" t="s">
        <v>38</v>
      </c>
      <c r="D14" s="10">
        <v>50</v>
      </c>
      <c r="E14" s="11">
        <v>0.15</v>
      </c>
      <c r="F14" s="12">
        <v>7.49</v>
      </c>
      <c r="G14" s="10">
        <v>1</v>
      </c>
      <c r="H14" s="13">
        <f t="shared" si="0"/>
        <v>7.49</v>
      </c>
      <c r="I14" s="8" t="b">
        <v>1</v>
      </c>
      <c r="J14" s="14">
        <v>45560</v>
      </c>
      <c r="K14" s="8"/>
      <c r="L14" s="2"/>
      <c r="M14" s="2"/>
      <c r="N14" s="2"/>
      <c r="O14" s="2"/>
      <c r="P14" s="2"/>
      <c r="Q14" s="2"/>
      <c r="R14" s="2"/>
      <c r="S14" s="2"/>
      <c r="T14" s="2"/>
      <c r="U14" s="2"/>
      <c r="V14" s="2"/>
      <c r="W14" s="2"/>
      <c r="X14" s="2"/>
      <c r="Y14" s="2"/>
      <c r="Z14" s="2"/>
    </row>
    <row r="15" spans="1:26" ht="12.75" customHeight="1">
      <c r="A15" s="8" t="s">
        <v>39</v>
      </c>
      <c r="B15" s="8" t="s">
        <v>40</v>
      </c>
      <c r="C15" s="17" t="s">
        <v>41</v>
      </c>
      <c r="D15" s="10">
        <v>80</v>
      </c>
      <c r="E15" s="11">
        <v>0.09</v>
      </c>
      <c r="F15" s="12">
        <v>7.49</v>
      </c>
      <c r="G15" s="10">
        <v>1</v>
      </c>
      <c r="H15" s="13">
        <f t="shared" si="0"/>
        <v>7.49</v>
      </c>
      <c r="I15" s="8" t="b">
        <v>1</v>
      </c>
      <c r="J15" s="14">
        <v>45560</v>
      </c>
      <c r="K15" s="8"/>
      <c r="L15" s="2"/>
      <c r="M15" s="2"/>
      <c r="N15" s="2"/>
      <c r="O15" s="2"/>
      <c r="P15" s="2"/>
      <c r="Q15" s="2"/>
      <c r="R15" s="2"/>
      <c r="S15" s="2"/>
      <c r="T15" s="2"/>
      <c r="U15" s="2"/>
      <c r="V15" s="2"/>
      <c r="W15" s="2"/>
      <c r="X15" s="2"/>
      <c r="Y15" s="2"/>
      <c r="Z15" s="2"/>
    </row>
    <row r="16" spans="1:26" ht="12.75" customHeight="1">
      <c r="A16" s="8" t="s">
        <v>42</v>
      </c>
      <c r="B16" s="8" t="s">
        <v>43</v>
      </c>
      <c r="C16" s="17" t="s">
        <v>44</v>
      </c>
      <c r="D16" s="10">
        <v>1</v>
      </c>
      <c r="E16" s="11">
        <v>72.900000000000006</v>
      </c>
      <c r="F16" s="19">
        <f t="shared" ref="F16:F17" si="2">IF(D16="ea",E16,E16*D16)</f>
        <v>72.900000000000006</v>
      </c>
      <c r="G16" s="10">
        <v>1</v>
      </c>
      <c r="H16" s="13">
        <f t="shared" si="0"/>
        <v>72.900000000000006</v>
      </c>
      <c r="I16" s="8" t="b">
        <v>1</v>
      </c>
      <c r="J16" s="20">
        <v>45474</v>
      </c>
      <c r="K16" s="8"/>
      <c r="L16" s="2"/>
      <c r="M16" s="2"/>
      <c r="N16" s="2"/>
      <c r="O16" s="2"/>
      <c r="P16" s="2"/>
      <c r="Q16" s="2"/>
      <c r="R16" s="2"/>
      <c r="S16" s="2"/>
      <c r="T16" s="2"/>
      <c r="U16" s="2"/>
      <c r="V16" s="2"/>
      <c r="W16" s="2"/>
      <c r="X16" s="2"/>
      <c r="Y16" s="2"/>
      <c r="Z16" s="2"/>
    </row>
    <row r="17" spans="1:26" ht="12.75" customHeight="1">
      <c r="A17" s="8" t="s">
        <v>45</v>
      </c>
      <c r="B17" s="8" t="s">
        <v>46</v>
      </c>
      <c r="C17" s="8" t="s">
        <v>46</v>
      </c>
      <c r="D17" s="10">
        <v>1</v>
      </c>
      <c r="E17" s="11">
        <v>24.8</v>
      </c>
      <c r="F17" s="19">
        <f t="shared" si="2"/>
        <v>24.8</v>
      </c>
      <c r="G17" s="10">
        <v>1</v>
      </c>
      <c r="H17" s="13">
        <f t="shared" si="0"/>
        <v>24.8</v>
      </c>
      <c r="I17" s="8" t="b">
        <v>1</v>
      </c>
      <c r="J17" s="14">
        <v>45541</v>
      </c>
      <c r="K17" s="8"/>
      <c r="L17" s="2"/>
      <c r="M17" s="2"/>
      <c r="N17" s="2"/>
      <c r="O17" s="2"/>
      <c r="P17" s="2"/>
      <c r="Q17" s="2"/>
      <c r="R17" s="2"/>
      <c r="S17" s="2"/>
      <c r="T17" s="2"/>
      <c r="U17" s="2"/>
      <c r="V17" s="2"/>
      <c r="W17" s="2"/>
      <c r="X17" s="2"/>
      <c r="Y17" s="2"/>
      <c r="Z17" s="2"/>
    </row>
    <row r="18" spans="1:26" ht="12.75" customHeight="1">
      <c r="A18" s="8" t="s">
        <v>47</v>
      </c>
      <c r="B18" s="8" t="s">
        <v>48</v>
      </c>
      <c r="C18" s="17" t="s">
        <v>49</v>
      </c>
      <c r="D18" s="10">
        <v>75</v>
      </c>
      <c r="E18" s="11">
        <v>0.12</v>
      </c>
      <c r="F18" s="12">
        <v>8.99</v>
      </c>
      <c r="G18" s="10">
        <v>1</v>
      </c>
      <c r="H18" s="13">
        <f t="shared" si="0"/>
        <v>8.99</v>
      </c>
      <c r="I18" s="8" t="b">
        <v>1</v>
      </c>
      <c r="J18" s="14">
        <v>45560</v>
      </c>
      <c r="K18" s="8"/>
      <c r="L18" s="2"/>
      <c r="M18" s="2"/>
      <c r="N18" s="2"/>
      <c r="O18" s="2"/>
      <c r="P18" s="2"/>
      <c r="Q18" s="2"/>
      <c r="R18" s="2"/>
      <c r="S18" s="2"/>
      <c r="T18" s="2"/>
      <c r="U18" s="2"/>
      <c r="V18" s="2"/>
      <c r="W18" s="2"/>
      <c r="X18" s="2"/>
      <c r="Y18" s="2"/>
      <c r="Z18" s="2"/>
    </row>
    <row r="19" spans="1:26" ht="12.75" customHeight="1">
      <c r="A19" s="8" t="s">
        <v>50</v>
      </c>
      <c r="B19" s="8" t="s">
        <v>51</v>
      </c>
      <c r="C19" s="17" t="s">
        <v>52</v>
      </c>
      <c r="D19" s="10">
        <v>100</v>
      </c>
      <c r="E19" s="11">
        <v>7.0000000000000007E-2</v>
      </c>
      <c r="F19" s="12">
        <v>6.56</v>
      </c>
      <c r="G19" s="10">
        <v>1</v>
      </c>
      <c r="H19" s="13">
        <f t="shared" si="0"/>
        <v>6.56</v>
      </c>
      <c r="I19" s="8" t="b">
        <v>1</v>
      </c>
      <c r="J19" s="14">
        <v>45560</v>
      </c>
      <c r="K19" s="8"/>
      <c r="L19" s="2"/>
      <c r="M19" s="2"/>
      <c r="N19" s="2"/>
      <c r="O19" s="2"/>
      <c r="P19" s="2"/>
      <c r="Q19" s="2"/>
      <c r="R19" s="2"/>
      <c r="S19" s="2"/>
      <c r="T19" s="2"/>
      <c r="U19" s="2"/>
      <c r="V19" s="2"/>
      <c r="W19" s="2"/>
      <c r="X19" s="2"/>
      <c r="Y19" s="2"/>
      <c r="Z19" s="2"/>
    </row>
    <row r="20" spans="1:26" ht="12.75" customHeight="1">
      <c r="A20" s="8" t="s">
        <v>53</v>
      </c>
      <c r="B20" s="8" t="s">
        <v>40</v>
      </c>
      <c r="C20" s="17" t="s">
        <v>54</v>
      </c>
      <c r="D20" s="10">
        <v>40</v>
      </c>
      <c r="E20" s="11">
        <v>0.16</v>
      </c>
      <c r="F20" s="12">
        <v>6.19</v>
      </c>
      <c r="G20" s="10">
        <v>1</v>
      </c>
      <c r="H20" s="13">
        <f t="shared" si="0"/>
        <v>6.19</v>
      </c>
      <c r="I20" s="8" t="b">
        <v>1</v>
      </c>
      <c r="J20" s="14">
        <v>45560</v>
      </c>
      <c r="K20" s="8"/>
      <c r="L20" s="2"/>
      <c r="M20" s="2"/>
      <c r="N20" s="2"/>
      <c r="O20" s="2"/>
      <c r="P20" s="2"/>
      <c r="Q20" s="2"/>
      <c r="R20" s="2"/>
      <c r="S20" s="2"/>
      <c r="T20" s="2"/>
      <c r="U20" s="2"/>
      <c r="V20" s="2"/>
      <c r="W20" s="2"/>
      <c r="X20" s="2"/>
      <c r="Y20" s="2"/>
      <c r="Z20" s="2"/>
    </row>
    <row r="21" spans="1:26" ht="12.75" customHeight="1">
      <c r="A21" s="8" t="s">
        <v>55</v>
      </c>
      <c r="B21" s="8" t="s">
        <v>56</v>
      </c>
      <c r="C21" s="17" t="s">
        <v>57</v>
      </c>
      <c r="D21" s="10">
        <v>100</v>
      </c>
      <c r="E21" s="11">
        <v>0.08</v>
      </c>
      <c r="F21" s="12">
        <v>7.99</v>
      </c>
      <c r="G21" s="10">
        <v>1</v>
      </c>
      <c r="H21" s="13">
        <f t="shared" si="0"/>
        <v>7.99</v>
      </c>
      <c r="I21" s="8" t="b">
        <v>1</v>
      </c>
      <c r="J21" s="14">
        <v>45560</v>
      </c>
      <c r="K21" s="8"/>
      <c r="L21" s="2"/>
      <c r="M21" s="2"/>
      <c r="N21" s="2"/>
      <c r="O21" s="2"/>
      <c r="P21" s="2"/>
      <c r="Q21" s="2"/>
      <c r="R21" s="2"/>
      <c r="S21" s="2"/>
      <c r="T21" s="2"/>
      <c r="U21" s="2"/>
      <c r="V21" s="2"/>
      <c r="W21" s="2"/>
      <c r="X21" s="2"/>
      <c r="Y21" s="2"/>
      <c r="Z21" s="2"/>
    </row>
    <row r="22" spans="1:26" ht="12.75" customHeight="1">
      <c r="A22" s="8" t="s">
        <v>58</v>
      </c>
      <c r="B22" s="8" t="s">
        <v>59</v>
      </c>
      <c r="C22" s="17" t="s">
        <v>60</v>
      </c>
      <c r="D22" s="10">
        <v>100</v>
      </c>
      <c r="E22" s="11">
        <v>0.06</v>
      </c>
      <c r="F22" s="12">
        <v>5.99</v>
      </c>
      <c r="G22" s="10">
        <v>1</v>
      </c>
      <c r="H22" s="13">
        <f t="shared" si="0"/>
        <v>5.99</v>
      </c>
      <c r="I22" s="8" t="b">
        <v>1</v>
      </c>
      <c r="J22" s="14">
        <v>45560</v>
      </c>
      <c r="K22" s="8"/>
      <c r="L22" s="2"/>
      <c r="M22" s="2"/>
      <c r="N22" s="2"/>
      <c r="O22" s="2"/>
      <c r="P22" s="2"/>
      <c r="Q22" s="2"/>
      <c r="R22" s="2"/>
      <c r="S22" s="2"/>
      <c r="T22" s="2"/>
      <c r="U22" s="2"/>
      <c r="V22" s="2"/>
      <c r="W22" s="2"/>
      <c r="X22" s="2"/>
      <c r="Y22" s="2"/>
      <c r="Z22" s="2"/>
    </row>
    <row r="23" spans="1:26" ht="12.75" customHeight="1">
      <c r="A23" s="8" t="s">
        <v>61</v>
      </c>
      <c r="B23" s="8" t="s">
        <v>62</v>
      </c>
      <c r="C23" s="17" t="s">
        <v>63</v>
      </c>
      <c r="D23" s="10">
        <v>1</v>
      </c>
      <c r="E23" s="11">
        <v>18.88</v>
      </c>
      <c r="F23" s="19">
        <f t="shared" ref="F23:F26" si="3">IF(D23="ea",E23,E23*D23)</f>
        <v>18.88</v>
      </c>
      <c r="G23" s="10">
        <v>2</v>
      </c>
      <c r="H23" s="13">
        <f t="shared" si="0"/>
        <v>37.76</v>
      </c>
      <c r="I23" s="8" t="b">
        <v>1</v>
      </c>
      <c r="J23" s="14">
        <v>45560</v>
      </c>
      <c r="K23" s="8"/>
      <c r="L23" s="2"/>
      <c r="M23" s="2"/>
      <c r="N23" s="2"/>
      <c r="O23" s="2"/>
      <c r="P23" s="2"/>
      <c r="Q23" s="2"/>
      <c r="R23" s="2"/>
      <c r="S23" s="2"/>
      <c r="T23" s="2"/>
      <c r="U23" s="2"/>
      <c r="V23" s="2"/>
      <c r="W23" s="2"/>
      <c r="X23" s="2"/>
      <c r="Y23" s="2"/>
      <c r="Z23" s="2"/>
    </row>
    <row r="24" spans="1:26" ht="12.75" customHeight="1">
      <c r="A24" s="8" t="s">
        <v>64</v>
      </c>
      <c r="B24" s="8" t="s">
        <v>65</v>
      </c>
      <c r="C24" s="16" t="s">
        <v>66</v>
      </c>
      <c r="D24" s="10">
        <v>1</v>
      </c>
      <c r="E24" s="11">
        <v>9.5</v>
      </c>
      <c r="F24" s="19">
        <f t="shared" si="3"/>
        <v>9.5</v>
      </c>
      <c r="G24" s="10">
        <v>1</v>
      </c>
      <c r="H24" s="13">
        <f t="shared" si="0"/>
        <v>9.5</v>
      </c>
      <c r="I24" s="8" t="b">
        <v>1</v>
      </c>
      <c r="J24" s="14">
        <v>45560</v>
      </c>
      <c r="K24" s="8"/>
      <c r="L24" s="2"/>
      <c r="M24" s="2"/>
      <c r="N24" s="2"/>
      <c r="O24" s="2"/>
      <c r="P24" s="2"/>
      <c r="Q24" s="2"/>
      <c r="R24" s="2"/>
      <c r="S24" s="2"/>
      <c r="T24" s="2"/>
      <c r="U24" s="2"/>
      <c r="V24" s="2"/>
      <c r="W24" s="2"/>
      <c r="X24" s="2"/>
      <c r="Y24" s="2"/>
      <c r="Z24" s="2"/>
    </row>
    <row r="25" spans="1:26" ht="12.75" customHeight="1">
      <c r="A25" s="8" t="s">
        <v>64</v>
      </c>
      <c r="B25" s="8" t="s">
        <v>65</v>
      </c>
      <c r="C25" s="16" t="s">
        <v>66</v>
      </c>
      <c r="D25" s="10">
        <v>2</v>
      </c>
      <c r="E25" s="11">
        <v>7.7450000000000001</v>
      </c>
      <c r="F25" s="19">
        <f t="shared" si="3"/>
        <v>15.49</v>
      </c>
      <c r="G25" s="10">
        <v>1</v>
      </c>
      <c r="H25" s="13">
        <f t="shared" si="0"/>
        <v>15.49</v>
      </c>
      <c r="I25" s="8" t="b">
        <v>1</v>
      </c>
      <c r="J25" s="14">
        <v>45585</v>
      </c>
      <c r="K25" s="8"/>
      <c r="L25" s="2"/>
      <c r="M25" s="2"/>
      <c r="N25" s="2"/>
      <c r="O25" s="2"/>
      <c r="P25" s="2"/>
      <c r="Q25" s="2"/>
      <c r="R25" s="2"/>
      <c r="S25" s="2"/>
      <c r="T25" s="2"/>
      <c r="U25" s="2"/>
      <c r="V25" s="2"/>
      <c r="W25" s="2"/>
      <c r="X25" s="2"/>
      <c r="Y25" s="2"/>
      <c r="Z25" s="2"/>
    </row>
    <row r="26" spans="1:26" ht="12.75" customHeight="1">
      <c r="A26" s="8" t="s">
        <v>67</v>
      </c>
      <c r="B26" s="8" t="s">
        <v>68</v>
      </c>
      <c r="C26" s="17" t="s">
        <v>69</v>
      </c>
      <c r="D26" s="10">
        <v>1</v>
      </c>
      <c r="E26" s="11">
        <v>30.59</v>
      </c>
      <c r="F26" s="19">
        <f t="shared" si="3"/>
        <v>30.59</v>
      </c>
      <c r="G26" s="10">
        <v>1</v>
      </c>
      <c r="H26" s="13">
        <f t="shared" si="0"/>
        <v>30.59</v>
      </c>
      <c r="I26" s="8" t="b">
        <v>1</v>
      </c>
      <c r="J26" s="14">
        <v>45560</v>
      </c>
      <c r="K26" s="8"/>
      <c r="L26" s="2"/>
      <c r="M26" s="2"/>
      <c r="N26" s="2"/>
      <c r="O26" s="2"/>
      <c r="P26" s="2"/>
      <c r="Q26" s="2"/>
      <c r="R26" s="2"/>
      <c r="S26" s="2"/>
      <c r="T26" s="2"/>
      <c r="U26" s="2"/>
      <c r="V26" s="2"/>
      <c r="W26" s="2"/>
      <c r="X26" s="2"/>
      <c r="Y26" s="2"/>
      <c r="Z26" s="2"/>
    </row>
    <row r="27" spans="1:26" ht="12.75" customHeight="1">
      <c r="A27" s="8" t="s">
        <v>70</v>
      </c>
      <c r="B27" s="8" t="s">
        <v>71</v>
      </c>
      <c r="C27" s="17" t="s">
        <v>72</v>
      </c>
      <c r="D27" s="10">
        <v>2</v>
      </c>
      <c r="E27" s="11">
        <v>4.5</v>
      </c>
      <c r="F27" s="12">
        <v>8.99</v>
      </c>
      <c r="G27" s="10">
        <v>1</v>
      </c>
      <c r="H27" s="13">
        <f t="shared" si="0"/>
        <v>8.99</v>
      </c>
      <c r="I27" s="8" t="b">
        <v>1</v>
      </c>
      <c r="J27" s="14">
        <v>45561</v>
      </c>
      <c r="K27" s="8"/>
      <c r="L27" s="2"/>
      <c r="M27" s="2"/>
      <c r="N27" s="2"/>
      <c r="O27" s="2"/>
      <c r="P27" s="2"/>
      <c r="Q27" s="2"/>
      <c r="R27" s="2"/>
      <c r="S27" s="2"/>
      <c r="T27" s="2"/>
      <c r="U27" s="2"/>
      <c r="V27" s="2"/>
      <c r="W27" s="2"/>
      <c r="X27" s="2"/>
      <c r="Y27" s="2"/>
      <c r="Z27" s="2"/>
    </row>
    <row r="28" spans="1:26" ht="12.75" customHeight="1">
      <c r="A28" s="8" t="s">
        <v>73</v>
      </c>
      <c r="B28" s="8" t="s">
        <v>74</v>
      </c>
      <c r="C28" s="17" t="s">
        <v>75</v>
      </c>
      <c r="D28" s="10">
        <v>1</v>
      </c>
      <c r="E28" s="11">
        <v>54.99</v>
      </c>
      <c r="F28" s="19">
        <f>IF(D28="ea",E28,E28*D28)</f>
        <v>54.99</v>
      </c>
      <c r="G28" s="10">
        <v>1</v>
      </c>
      <c r="H28" s="13">
        <f t="shared" si="0"/>
        <v>54.99</v>
      </c>
      <c r="I28" s="8" t="b">
        <v>1</v>
      </c>
      <c r="J28" s="14">
        <v>45561</v>
      </c>
      <c r="K28" s="8"/>
      <c r="L28" s="2"/>
      <c r="M28" s="2"/>
      <c r="N28" s="2"/>
      <c r="O28" s="2"/>
      <c r="P28" s="2"/>
      <c r="Q28" s="2"/>
      <c r="R28" s="2"/>
      <c r="S28" s="2"/>
      <c r="T28" s="2"/>
      <c r="U28" s="2"/>
      <c r="V28" s="2"/>
      <c r="W28" s="2"/>
      <c r="X28" s="2"/>
      <c r="Y28" s="2"/>
      <c r="Z28" s="2"/>
    </row>
    <row r="29" spans="1:26" ht="12.75" customHeight="1">
      <c r="A29" s="8" t="s">
        <v>76</v>
      </c>
      <c r="B29" s="8" t="s">
        <v>77</v>
      </c>
      <c r="C29" s="17" t="s">
        <v>78</v>
      </c>
      <c r="D29" s="10">
        <v>10</v>
      </c>
      <c r="E29" s="11">
        <v>0.6</v>
      </c>
      <c r="F29" s="12">
        <v>5.99</v>
      </c>
      <c r="G29" s="10">
        <v>1</v>
      </c>
      <c r="H29" s="21">
        <v>5.99</v>
      </c>
      <c r="I29" s="8" t="b">
        <v>1</v>
      </c>
      <c r="J29" s="14">
        <v>45560</v>
      </c>
      <c r="K29" s="8"/>
      <c r="L29" s="2"/>
      <c r="M29" s="2"/>
      <c r="N29" s="2"/>
      <c r="O29" s="2"/>
      <c r="P29" s="2"/>
      <c r="Q29" s="2"/>
      <c r="R29" s="2"/>
      <c r="S29" s="2"/>
      <c r="T29" s="2"/>
      <c r="U29" s="2"/>
      <c r="V29" s="2"/>
      <c r="W29" s="2"/>
      <c r="X29" s="2"/>
      <c r="Y29" s="2"/>
      <c r="Z29" s="2"/>
    </row>
    <row r="30" spans="1:26" ht="12.75" customHeight="1">
      <c r="A30" s="8" t="s">
        <v>79</v>
      </c>
      <c r="B30" s="8" t="s">
        <v>80</v>
      </c>
      <c r="C30" s="17" t="s">
        <v>81</v>
      </c>
      <c r="D30" s="10">
        <v>2</v>
      </c>
      <c r="E30" s="11">
        <v>9</v>
      </c>
      <c r="F30" s="12">
        <v>17.989999999999998</v>
      </c>
      <c r="G30" s="10">
        <v>1</v>
      </c>
      <c r="H30" s="13">
        <f t="shared" ref="H30:H43" si="4">F30*G30</f>
        <v>17.989999999999998</v>
      </c>
      <c r="I30" s="8" t="b">
        <v>1</v>
      </c>
      <c r="J30" s="14">
        <v>45561</v>
      </c>
      <c r="K30" s="8"/>
      <c r="L30" s="2"/>
      <c r="M30" s="2"/>
      <c r="N30" s="2"/>
      <c r="O30" s="2"/>
      <c r="P30" s="2"/>
      <c r="Q30" s="2"/>
      <c r="R30" s="2"/>
      <c r="S30" s="2"/>
      <c r="T30" s="2"/>
      <c r="U30" s="2"/>
      <c r="V30" s="2"/>
      <c r="W30" s="2"/>
      <c r="X30" s="2"/>
      <c r="Y30" s="2"/>
      <c r="Z30" s="2"/>
    </row>
    <row r="31" spans="1:26" ht="12.75" customHeight="1">
      <c r="A31" s="8" t="s">
        <v>82</v>
      </c>
      <c r="B31" s="8" t="s">
        <v>83</v>
      </c>
      <c r="C31" s="17" t="s">
        <v>84</v>
      </c>
      <c r="D31" s="10">
        <v>40</v>
      </c>
      <c r="E31" s="11">
        <v>0.35</v>
      </c>
      <c r="F31" s="12">
        <v>13.99</v>
      </c>
      <c r="G31" s="10">
        <v>1</v>
      </c>
      <c r="H31" s="13">
        <f t="shared" si="4"/>
        <v>13.99</v>
      </c>
      <c r="I31" s="8" t="b">
        <v>1</v>
      </c>
      <c r="J31" s="14">
        <v>45561</v>
      </c>
      <c r="K31" s="8"/>
      <c r="L31" s="2"/>
      <c r="M31" s="2"/>
      <c r="N31" s="2"/>
      <c r="O31" s="2"/>
      <c r="P31" s="2"/>
      <c r="Q31" s="2"/>
      <c r="R31" s="2"/>
      <c r="S31" s="2"/>
      <c r="T31" s="2"/>
      <c r="U31" s="2"/>
      <c r="V31" s="2"/>
      <c r="W31" s="2"/>
      <c r="X31" s="2"/>
      <c r="Y31" s="2"/>
      <c r="Z31" s="2"/>
    </row>
    <row r="32" spans="1:26" ht="12.75" customHeight="1">
      <c r="A32" s="8" t="s">
        <v>85</v>
      </c>
      <c r="B32" s="8" t="s">
        <v>86</v>
      </c>
      <c r="C32" s="17" t="s">
        <v>87</v>
      </c>
      <c r="D32" s="10">
        <v>5</v>
      </c>
      <c r="E32" s="11">
        <v>2</v>
      </c>
      <c r="F32" s="12">
        <v>9.99</v>
      </c>
      <c r="G32" s="10">
        <v>1</v>
      </c>
      <c r="H32" s="13">
        <f t="shared" si="4"/>
        <v>9.99</v>
      </c>
      <c r="I32" s="8" t="b">
        <v>1</v>
      </c>
      <c r="J32" s="14">
        <v>45582</v>
      </c>
      <c r="K32" s="8"/>
      <c r="L32" s="2"/>
      <c r="M32" s="2"/>
      <c r="N32" s="2"/>
      <c r="O32" s="2"/>
      <c r="P32" s="2"/>
      <c r="Q32" s="2"/>
      <c r="R32" s="2"/>
      <c r="S32" s="2"/>
      <c r="T32" s="2"/>
      <c r="U32" s="2"/>
      <c r="V32" s="2"/>
      <c r="W32" s="2"/>
      <c r="X32" s="2"/>
      <c r="Y32" s="2"/>
      <c r="Z32" s="2"/>
    </row>
    <row r="33" spans="1:26" ht="12.75" customHeight="1">
      <c r="A33" s="8" t="s">
        <v>88</v>
      </c>
      <c r="B33" s="8" t="s">
        <v>89</v>
      </c>
      <c r="C33" s="17" t="s">
        <v>90</v>
      </c>
      <c r="D33" s="10">
        <v>2</v>
      </c>
      <c r="E33" s="11">
        <v>3</v>
      </c>
      <c r="F33" s="12">
        <v>5.99</v>
      </c>
      <c r="G33" s="10">
        <v>1</v>
      </c>
      <c r="H33" s="13">
        <f t="shared" si="4"/>
        <v>5.99</v>
      </c>
      <c r="I33" s="8" t="b">
        <v>1</v>
      </c>
      <c r="J33" s="14">
        <v>45582</v>
      </c>
      <c r="K33" s="8"/>
      <c r="L33" s="2"/>
      <c r="M33" s="2"/>
      <c r="N33" s="2"/>
      <c r="O33" s="2"/>
      <c r="P33" s="2"/>
      <c r="Q33" s="2"/>
      <c r="R33" s="2"/>
      <c r="S33" s="2"/>
      <c r="T33" s="2"/>
      <c r="U33" s="2"/>
      <c r="V33" s="2"/>
      <c r="W33" s="2"/>
      <c r="X33" s="2"/>
      <c r="Y33" s="2"/>
      <c r="Z33" s="2"/>
    </row>
    <row r="34" spans="1:26" ht="12.75" customHeight="1">
      <c r="A34" s="22" t="s">
        <v>91</v>
      </c>
      <c r="B34" s="22" t="s">
        <v>92</v>
      </c>
      <c r="C34" s="23" t="s">
        <v>93</v>
      </c>
      <c r="D34" s="10">
        <v>1</v>
      </c>
      <c r="E34" s="11">
        <v>13.99</v>
      </c>
      <c r="F34" s="12">
        <v>13.99</v>
      </c>
      <c r="G34" s="10">
        <v>1</v>
      </c>
      <c r="H34" s="13">
        <f t="shared" si="4"/>
        <v>13.99</v>
      </c>
      <c r="I34" s="8" t="b">
        <v>1</v>
      </c>
      <c r="J34" s="14">
        <v>45582</v>
      </c>
      <c r="K34" s="8"/>
      <c r="L34" s="2"/>
      <c r="M34" s="2"/>
      <c r="N34" s="2"/>
      <c r="O34" s="2"/>
      <c r="P34" s="2"/>
      <c r="Q34" s="2"/>
      <c r="R34" s="2"/>
      <c r="S34" s="2"/>
      <c r="T34" s="2"/>
      <c r="U34" s="2"/>
      <c r="V34" s="2"/>
      <c r="W34" s="2"/>
      <c r="X34" s="2"/>
      <c r="Y34" s="2"/>
      <c r="Z34" s="2"/>
    </row>
    <row r="35" spans="1:26" ht="12.75" customHeight="1">
      <c r="A35" s="22" t="s">
        <v>94</v>
      </c>
      <c r="B35" s="22" t="s">
        <v>95</v>
      </c>
      <c r="C35" s="23" t="s">
        <v>96</v>
      </c>
      <c r="D35" s="10">
        <v>1</v>
      </c>
      <c r="E35" s="11">
        <v>12.49</v>
      </c>
      <c r="F35" s="12">
        <v>12.49</v>
      </c>
      <c r="G35" s="10">
        <v>1</v>
      </c>
      <c r="H35" s="13">
        <f t="shared" si="4"/>
        <v>12.49</v>
      </c>
      <c r="I35" s="8" t="b">
        <v>1</v>
      </c>
      <c r="J35" s="14">
        <v>45582</v>
      </c>
      <c r="K35" s="8"/>
      <c r="L35" s="2"/>
      <c r="M35" s="2"/>
      <c r="N35" s="2"/>
      <c r="O35" s="2"/>
      <c r="P35" s="2"/>
      <c r="Q35" s="2"/>
      <c r="R35" s="2"/>
      <c r="S35" s="2"/>
      <c r="T35" s="2"/>
      <c r="U35" s="2"/>
      <c r="V35" s="2"/>
      <c r="W35" s="2"/>
      <c r="X35" s="2"/>
      <c r="Y35" s="2"/>
      <c r="Z35" s="2"/>
    </row>
    <row r="36" spans="1:26" ht="12.75" customHeight="1">
      <c r="A36" s="22" t="s">
        <v>97</v>
      </c>
      <c r="B36" s="22" t="s">
        <v>98</v>
      </c>
      <c r="C36" s="23" t="s">
        <v>99</v>
      </c>
      <c r="D36" s="10">
        <v>1</v>
      </c>
      <c r="E36" s="11">
        <v>9.68</v>
      </c>
      <c r="F36" s="12">
        <v>9.68</v>
      </c>
      <c r="G36" s="10">
        <v>1</v>
      </c>
      <c r="H36" s="13">
        <f t="shared" si="4"/>
        <v>9.68</v>
      </c>
      <c r="I36" s="8" t="b">
        <v>1</v>
      </c>
      <c r="J36" s="14">
        <v>45585</v>
      </c>
      <c r="K36" s="8"/>
      <c r="L36" s="2"/>
      <c r="M36" s="2"/>
      <c r="N36" s="2"/>
      <c r="O36" s="2"/>
      <c r="P36" s="2"/>
      <c r="Q36" s="2"/>
      <c r="R36" s="2"/>
      <c r="S36" s="2"/>
      <c r="T36" s="2"/>
      <c r="U36" s="2"/>
      <c r="V36" s="2"/>
      <c r="W36" s="2"/>
      <c r="X36" s="2"/>
      <c r="Y36" s="2"/>
      <c r="Z36" s="2"/>
    </row>
    <row r="37" spans="1:26" ht="12.75" customHeight="1">
      <c r="A37" s="22" t="s">
        <v>100</v>
      </c>
      <c r="B37" s="22" t="s">
        <v>40</v>
      </c>
      <c r="C37" s="23" t="s">
        <v>101</v>
      </c>
      <c r="D37" s="10">
        <v>1</v>
      </c>
      <c r="E37" s="11">
        <v>5.49</v>
      </c>
      <c r="F37" s="12">
        <v>5.49</v>
      </c>
      <c r="G37" s="10">
        <v>1</v>
      </c>
      <c r="H37" s="13">
        <f t="shared" si="4"/>
        <v>5.49</v>
      </c>
      <c r="I37" s="8" t="b">
        <v>1</v>
      </c>
      <c r="J37" s="14">
        <v>45586</v>
      </c>
      <c r="K37" s="8"/>
      <c r="L37" s="2"/>
      <c r="M37" s="2"/>
      <c r="N37" s="2"/>
      <c r="O37" s="2"/>
      <c r="P37" s="2"/>
      <c r="Q37" s="2"/>
      <c r="R37" s="2"/>
      <c r="S37" s="2"/>
      <c r="T37" s="2"/>
      <c r="U37" s="2"/>
      <c r="V37" s="2"/>
      <c r="W37" s="2"/>
      <c r="X37" s="2"/>
      <c r="Y37" s="2"/>
      <c r="Z37" s="2"/>
    </row>
    <row r="38" spans="1:26" ht="12.75" customHeight="1">
      <c r="A38" s="24" t="s">
        <v>102</v>
      </c>
      <c r="B38" s="22" t="s">
        <v>103</v>
      </c>
      <c r="C38" s="25" t="s">
        <v>104</v>
      </c>
      <c r="D38" s="10">
        <v>1</v>
      </c>
      <c r="E38" s="11">
        <v>9.9600000000000009</v>
      </c>
      <c r="F38" s="12">
        <v>9.9600000000000009</v>
      </c>
      <c r="G38" s="10">
        <v>1</v>
      </c>
      <c r="H38" s="13">
        <f t="shared" si="4"/>
        <v>9.9600000000000009</v>
      </c>
      <c r="I38" s="8" t="b">
        <v>1</v>
      </c>
      <c r="J38" s="14">
        <v>45588</v>
      </c>
      <c r="K38" s="8"/>
      <c r="L38" s="2"/>
      <c r="M38" s="2"/>
      <c r="N38" s="2"/>
      <c r="O38" s="2"/>
      <c r="P38" s="2"/>
      <c r="Q38" s="2"/>
      <c r="R38" s="2"/>
      <c r="S38" s="2"/>
      <c r="T38" s="2"/>
      <c r="U38" s="2"/>
      <c r="V38" s="2"/>
      <c r="W38" s="2"/>
      <c r="X38" s="2"/>
      <c r="Y38" s="2"/>
      <c r="Z38" s="2"/>
    </row>
    <row r="39" spans="1:26" ht="12.75" customHeight="1">
      <c r="A39" s="26" t="s">
        <v>105</v>
      </c>
      <c r="B39" s="22" t="s">
        <v>106</v>
      </c>
      <c r="C39" s="25" t="s">
        <v>107</v>
      </c>
      <c r="D39" s="10">
        <v>1</v>
      </c>
      <c r="E39" s="11">
        <v>26.4</v>
      </c>
      <c r="F39" s="12">
        <v>26.4</v>
      </c>
      <c r="G39" s="10">
        <v>1</v>
      </c>
      <c r="H39" s="13">
        <f t="shared" si="4"/>
        <v>26.4</v>
      </c>
      <c r="I39" s="8" t="b">
        <v>1</v>
      </c>
      <c r="J39" s="14">
        <v>45607</v>
      </c>
      <c r="K39" s="8"/>
      <c r="L39" s="2"/>
      <c r="M39" s="2"/>
      <c r="N39" s="2"/>
      <c r="O39" s="2"/>
      <c r="P39" s="2"/>
      <c r="Q39" s="2"/>
      <c r="R39" s="2"/>
      <c r="S39" s="2"/>
      <c r="T39" s="2"/>
      <c r="U39" s="2"/>
      <c r="V39" s="2"/>
      <c r="W39" s="2"/>
      <c r="X39" s="2"/>
      <c r="Y39" s="2"/>
      <c r="Z39" s="2"/>
    </row>
    <row r="40" spans="1:26" ht="12.75" customHeight="1">
      <c r="A40" s="26" t="s">
        <v>108</v>
      </c>
      <c r="B40" s="22" t="s">
        <v>109</v>
      </c>
      <c r="C40" s="25" t="s">
        <v>110</v>
      </c>
      <c r="D40" s="10">
        <v>1</v>
      </c>
      <c r="E40" s="11">
        <v>7.99</v>
      </c>
      <c r="F40" s="12">
        <v>7.99</v>
      </c>
      <c r="G40" s="10">
        <v>1</v>
      </c>
      <c r="H40" s="13">
        <f t="shared" si="4"/>
        <v>7.99</v>
      </c>
      <c r="I40" s="8" t="b">
        <v>1</v>
      </c>
      <c r="J40" s="14">
        <v>45606</v>
      </c>
      <c r="K40" s="8"/>
      <c r="L40" s="2"/>
      <c r="M40" s="2"/>
      <c r="N40" s="2"/>
      <c r="O40" s="2"/>
      <c r="P40" s="2"/>
      <c r="Q40" s="2"/>
      <c r="R40" s="2"/>
      <c r="S40" s="2"/>
      <c r="T40" s="2"/>
      <c r="U40" s="2"/>
      <c r="V40" s="2"/>
      <c r="W40" s="2"/>
      <c r="X40" s="2"/>
      <c r="Y40" s="2"/>
      <c r="Z40" s="2"/>
    </row>
    <row r="41" spans="1:26" ht="12.75" customHeight="1">
      <c r="A41" s="26" t="s">
        <v>111</v>
      </c>
      <c r="B41" s="22" t="s">
        <v>112</v>
      </c>
      <c r="C41" s="25" t="s">
        <v>113</v>
      </c>
      <c r="D41" s="10">
        <v>1</v>
      </c>
      <c r="E41" s="11">
        <v>14.59</v>
      </c>
      <c r="F41" s="12">
        <v>14.59</v>
      </c>
      <c r="G41" s="10">
        <v>1</v>
      </c>
      <c r="H41" s="13">
        <f t="shared" si="4"/>
        <v>14.59</v>
      </c>
      <c r="I41" s="8" t="b">
        <v>1</v>
      </c>
      <c r="J41" s="14">
        <v>45606</v>
      </c>
      <c r="K41" s="8"/>
      <c r="L41" s="2"/>
      <c r="M41" s="2"/>
      <c r="N41" s="2"/>
      <c r="O41" s="2"/>
      <c r="P41" s="2"/>
      <c r="Q41" s="2"/>
      <c r="R41" s="2"/>
      <c r="S41" s="2"/>
      <c r="T41" s="2"/>
      <c r="U41" s="2"/>
      <c r="V41" s="2"/>
      <c r="W41" s="2"/>
      <c r="X41" s="2"/>
      <c r="Y41" s="2"/>
      <c r="Z41" s="2"/>
    </row>
    <row r="42" spans="1:26" ht="12.75" customHeight="1">
      <c r="A42" s="26" t="s">
        <v>114</v>
      </c>
      <c r="B42" s="22" t="s">
        <v>115</v>
      </c>
      <c r="C42" s="25" t="s">
        <v>116</v>
      </c>
      <c r="D42" s="10">
        <v>2</v>
      </c>
      <c r="E42" s="11">
        <v>10.99</v>
      </c>
      <c r="F42" s="12">
        <v>10.99</v>
      </c>
      <c r="G42" s="10">
        <v>2</v>
      </c>
      <c r="H42" s="13">
        <f t="shared" si="4"/>
        <v>21.98</v>
      </c>
      <c r="I42" s="8" t="b">
        <v>1</v>
      </c>
      <c r="J42" s="14">
        <v>45612</v>
      </c>
      <c r="K42" s="8"/>
      <c r="L42" s="2"/>
      <c r="M42" s="2"/>
      <c r="N42" s="2"/>
      <c r="O42" s="2"/>
      <c r="P42" s="2"/>
      <c r="Q42" s="2"/>
      <c r="R42" s="2"/>
      <c r="S42" s="2"/>
      <c r="T42" s="2"/>
      <c r="U42" s="2"/>
      <c r="V42" s="2"/>
      <c r="W42" s="2"/>
      <c r="X42" s="2"/>
      <c r="Y42" s="2"/>
      <c r="Z42" s="2"/>
    </row>
    <row r="43" spans="1:26" ht="12.75" customHeight="1">
      <c r="A43" s="26" t="s">
        <v>117</v>
      </c>
      <c r="B43" s="22" t="s">
        <v>118</v>
      </c>
      <c r="C43" s="25" t="s">
        <v>119</v>
      </c>
      <c r="D43" s="10">
        <v>1</v>
      </c>
      <c r="E43" s="11">
        <v>16.989999999999998</v>
      </c>
      <c r="F43" s="12">
        <v>16.989999999999998</v>
      </c>
      <c r="G43" s="10">
        <v>1</v>
      </c>
      <c r="H43" s="13">
        <f t="shared" si="4"/>
        <v>16.989999999999998</v>
      </c>
      <c r="I43" s="8" t="b">
        <v>1</v>
      </c>
      <c r="J43" s="14">
        <v>45619</v>
      </c>
      <c r="K43" s="8"/>
      <c r="L43" s="2"/>
      <c r="M43" s="2"/>
      <c r="N43" s="2"/>
      <c r="O43" s="2"/>
      <c r="P43" s="2"/>
      <c r="Q43" s="2"/>
      <c r="R43" s="2"/>
      <c r="S43" s="2"/>
      <c r="T43" s="2"/>
      <c r="U43" s="2"/>
      <c r="V43" s="2"/>
      <c r="W43" s="2"/>
      <c r="X43" s="2"/>
      <c r="Y43" s="2"/>
      <c r="Z43" s="2"/>
    </row>
    <row r="44" spans="1:26" ht="12.75" customHeight="1">
      <c r="A44" s="36" t="s">
        <v>120</v>
      </c>
      <c r="B44" s="32"/>
      <c r="C44" s="32"/>
      <c r="D44" s="32"/>
      <c r="E44" s="32"/>
      <c r="F44" s="32"/>
      <c r="G44" s="33"/>
      <c r="H44" s="27">
        <f>SUM(H6:H42)</f>
        <v>695.81000000000017</v>
      </c>
      <c r="I44" s="37"/>
      <c r="J44" s="32"/>
      <c r="K44" s="33"/>
      <c r="L44" s="2"/>
      <c r="M44" s="2"/>
      <c r="N44" s="2"/>
      <c r="O44" s="2"/>
      <c r="P44" s="2"/>
      <c r="Q44" s="2"/>
      <c r="R44" s="2"/>
      <c r="S44" s="2"/>
      <c r="T44" s="2"/>
      <c r="U44" s="2"/>
      <c r="V44" s="2"/>
      <c r="W44" s="2"/>
      <c r="X44" s="2"/>
      <c r="Y44" s="2"/>
      <c r="Z44" s="2"/>
    </row>
    <row r="45" spans="1:26" ht="12.75" customHeight="1">
      <c r="A45" s="2"/>
      <c r="B45" s="2"/>
      <c r="C45" s="2"/>
      <c r="D45" s="28"/>
      <c r="E45" s="29"/>
      <c r="F45" s="29"/>
      <c r="G45" s="28"/>
      <c r="H45" s="30"/>
      <c r="I45" s="2"/>
      <c r="J45" s="2"/>
      <c r="K45" s="2"/>
      <c r="L45" s="2"/>
      <c r="M45" s="2"/>
      <c r="N45" s="2"/>
      <c r="O45" s="2"/>
      <c r="P45" s="2"/>
      <c r="Q45" s="2"/>
      <c r="R45" s="2"/>
      <c r="S45" s="2"/>
      <c r="T45" s="2"/>
      <c r="U45" s="2"/>
      <c r="V45" s="2"/>
      <c r="W45" s="2"/>
      <c r="X45" s="2"/>
      <c r="Y45" s="2"/>
      <c r="Z45" s="2"/>
    </row>
    <row r="46" spans="1:26" ht="12.75" customHeight="1">
      <c r="A46" s="15" t="s">
        <v>121</v>
      </c>
      <c r="B46" s="2"/>
      <c r="C46" s="2"/>
      <c r="D46" s="28"/>
      <c r="E46" s="29"/>
      <c r="F46" s="29"/>
      <c r="G46" s="28"/>
      <c r="H46" s="30"/>
      <c r="I46" s="2"/>
      <c r="J46" s="2"/>
      <c r="K46" s="2"/>
      <c r="L46" s="2"/>
      <c r="M46" s="2"/>
      <c r="N46" s="2"/>
      <c r="O46" s="2"/>
      <c r="P46" s="2"/>
      <c r="Q46" s="2"/>
      <c r="R46" s="2"/>
      <c r="S46" s="2"/>
      <c r="T46" s="2"/>
      <c r="U46" s="2"/>
      <c r="V46" s="2"/>
      <c r="W46" s="2"/>
      <c r="X46" s="2"/>
      <c r="Y46" s="2"/>
      <c r="Z46" s="2"/>
    </row>
    <row r="47" spans="1:26" ht="12.75" customHeight="1">
      <c r="A47" s="15" t="s">
        <v>122</v>
      </c>
      <c r="B47" s="2"/>
      <c r="C47" s="2"/>
      <c r="D47" s="28"/>
      <c r="E47" s="29"/>
      <c r="F47" s="29"/>
      <c r="G47" s="28"/>
      <c r="H47" s="29"/>
      <c r="I47" s="2"/>
      <c r="J47" s="2"/>
      <c r="K47" s="2"/>
      <c r="L47" s="2"/>
      <c r="M47" s="2"/>
      <c r="N47" s="2"/>
      <c r="O47" s="2"/>
      <c r="P47" s="2"/>
      <c r="Q47" s="2"/>
      <c r="R47" s="2"/>
      <c r="S47" s="2"/>
      <c r="T47" s="2"/>
      <c r="U47" s="2"/>
      <c r="V47" s="2"/>
      <c r="W47" s="2"/>
      <c r="X47" s="2"/>
      <c r="Y47" s="2"/>
      <c r="Z47" s="2"/>
    </row>
    <row r="48" spans="1:26" ht="12.75" customHeight="1">
      <c r="A48" s="2"/>
      <c r="B48" s="2"/>
      <c r="C48" s="2"/>
      <c r="D48" s="28"/>
      <c r="E48" s="29"/>
      <c r="F48" s="29"/>
      <c r="G48" s="28"/>
      <c r="H48" s="29"/>
      <c r="I48" s="2"/>
      <c r="J48" s="2"/>
      <c r="K48" s="2"/>
      <c r="L48" s="2"/>
      <c r="M48" s="2"/>
      <c r="N48" s="2"/>
      <c r="O48" s="2"/>
      <c r="P48" s="2"/>
      <c r="Q48" s="2"/>
      <c r="R48" s="2"/>
      <c r="S48" s="2"/>
      <c r="T48" s="2"/>
      <c r="U48" s="2"/>
      <c r="V48" s="2"/>
      <c r="W48" s="2"/>
      <c r="X48" s="2"/>
      <c r="Y48" s="2"/>
      <c r="Z48" s="2"/>
    </row>
    <row r="49" spans="1:26" ht="12.75" customHeight="1">
      <c r="A49" s="2"/>
      <c r="B49" s="2"/>
      <c r="C49" s="2"/>
      <c r="D49" s="28"/>
      <c r="E49" s="29"/>
      <c r="F49" s="29"/>
      <c r="G49" s="28"/>
      <c r="H49" s="29"/>
      <c r="I49" s="2"/>
      <c r="J49" s="2"/>
      <c r="K49" s="2"/>
      <c r="L49" s="2"/>
      <c r="M49" s="2"/>
      <c r="N49" s="2"/>
      <c r="O49" s="2"/>
      <c r="P49" s="2"/>
      <c r="Q49" s="2"/>
      <c r="R49" s="2"/>
      <c r="S49" s="2"/>
      <c r="T49" s="2"/>
      <c r="U49" s="2"/>
      <c r="V49" s="2"/>
      <c r="W49" s="2"/>
      <c r="X49" s="2"/>
      <c r="Y49" s="2"/>
      <c r="Z49" s="2"/>
    </row>
    <row r="50" spans="1:26" ht="12.75" customHeight="1">
      <c r="A50" s="2"/>
      <c r="B50" s="2"/>
      <c r="C50" s="2"/>
      <c r="D50" s="28"/>
      <c r="E50" s="29"/>
      <c r="F50" s="29"/>
      <c r="G50" s="28"/>
      <c r="H50" s="29"/>
      <c r="I50" s="2"/>
      <c r="J50" s="2"/>
      <c r="K50" s="2"/>
      <c r="L50" s="2"/>
      <c r="M50" s="2"/>
      <c r="N50" s="2"/>
      <c r="O50" s="2"/>
      <c r="P50" s="2"/>
      <c r="Q50" s="2"/>
      <c r="R50" s="2"/>
      <c r="S50" s="2"/>
      <c r="T50" s="2"/>
      <c r="U50" s="2"/>
      <c r="V50" s="2"/>
      <c r="W50" s="2"/>
      <c r="X50" s="2"/>
      <c r="Y50" s="2"/>
      <c r="Z50" s="2"/>
    </row>
    <row r="51" spans="1:26" ht="12.75" customHeight="1">
      <c r="A51" s="2"/>
      <c r="B51" s="2"/>
      <c r="C51" s="2"/>
      <c r="D51" s="28"/>
      <c r="E51" s="29"/>
      <c r="F51" s="29"/>
      <c r="G51" s="28"/>
      <c r="H51" s="29"/>
      <c r="I51" s="2"/>
      <c r="J51" s="2"/>
      <c r="K51" s="2"/>
      <c r="L51" s="2"/>
      <c r="M51" s="2"/>
      <c r="N51" s="2"/>
      <c r="O51" s="2"/>
      <c r="P51" s="2"/>
      <c r="Q51" s="2"/>
      <c r="R51" s="2"/>
      <c r="S51" s="2"/>
      <c r="T51" s="2"/>
      <c r="U51" s="2"/>
      <c r="V51" s="2"/>
      <c r="W51" s="2"/>
      <c r="X51" s="2"/>
      <c r="Y51" s="2"/>
      <c r="Z51" s="2"/>
    </row>
    <row r="52" spans="1:26" ht="12.75" customHeight="1">
      <c r="A52" s="2"/>
      <c r="B52" s="2"/>
      <c r="C52" s="2"/>
      <c r="D52" s="28"/>
      <c r="E52" s="29"/>
      <c r="F52" s="29"/>
      <c r="G52" s="28"/>
      <c r="H52" s="29"/>
      <c r="I52" s="2"/>
      <c r="J52" s="2"/>
      <c r="K52" s="2"/>
      <c r="L52" s="2"/>
      <c r="M52" s="2"/>
      <c r="N52" s="2"/>
      <c r="O52" s="2"/>
      <c r="P52" s="2"/>
      <c r="Q52" s="2"/>
      <c r="R52" s="2"/>
      <c r="S52" s="2"/>
      <c r="T52" s="2"/>
      <c r="U52" s="2"/>
      <c r="V52" s="2"/>
      <c r="W52" s="2"/>
      <c r="X52" s="2"/>
      <c r="Y52" s="2"/>
      <c r="Z52" s="2"/>
    </row>
    <row r="53" spans="1:26" ht="12.75" customHeight="1">
      <c r="A53" s="2"/>
      <c r="B53" s="2"/>
      <c r="C53" s="2"/>
      <c r="D53" s="28"/>
      <c r="E53" s="29"/>
      <c r="F53" s="29"/>
      <c r="G53" s="28"/>
      <c r="H53" s="29"/>
      <c r="I53" s="2"/>
      <c r="J53" s="2"/>
      <c r="K53" s="2"/>
      <c r="L53" s="2"/>
      <c r="M53" s="2"/>
      <c r="N53" s="2"/>
      <c r="O53" s="2"/>
      <c r="P53" s="2"/>
      <c r="Q53" s="2"/>
      <c r="R53" s="2"/>
      <c r="S53" s="2"/>
      <c r="T53" s="2"/>
      <c r="U53" s="2"/>
      <c r="V53" s="2"/>
      <c r="W53" s="2"/>
      <c r="X53" s="2"/>
      <c r="Y53" s="2"/>
      <c r="Z53" s="2"/>
    </row>
    <row r="54" spans="1:26" ht="12.75" customHeight="1">
      <c r="A54" s="2"/>
      <c r="B54" s="2"/>
      <c r="C54" s="2"/>
      <c r="D54" s="28"/>
      <c r="E54" s="29"/>
      <c r="F54" s="29"/>
      <c r="G54" s="28"/>
      <c r="H54" s="29"/>
      <c r="I54" s="2"/>
      <c r="J54" s="2"/>
      <c r="K54" s="2"/>
      <c r="L54" s="2"/>
      <c r="M54" s="2"/>
      <c r="N54" s="2"/>
      <c r="O54" s="2"/>
      <c r="P54" s="2"/>
      <c r="Q54" s="2"/>
      <c r="R54" s="2"/>
      <c r="S54" s="2"/>
      <c r="T54" s="2"/>
      <c r="U54" s="2"/>
      <c r="V54" s="2"/>
      <c r="W54" s="2"/>
      <c r="X54" s="2"/>
      <c r="Y54" s="2"/>
      <c r="Z54" s="2"/>
    </row>
    <row r="55" spans="1:26" ht="12.75" customHeight="1">
      <c r="A55" s="2"/>
      <c r="B55" s="2"/>
      <c r="C55" s="2"/>
      <c r="D55" s="28"/>
      <c r="E55" s="29"/>
      <c r="F55" s="29"/>
      <c r="G55" s="28"/>
      <c r="H55" s="29"/>
      <c r="I55" s="2"/>
      <c r="J55" s="2"/>
      <c r="K55" s="2"/>
      <c r="L55" s="2"/>
      <c r="M55" s="2"/>
      <c r="N55" s="2"/>
      <c r="O55" s="2"/>
      <c r="P55" s="2"/>
      <c r="Q55" s="2"/>
      <c r="R55" s="2"/>
      <c r="S55" s="2"/>
      <c r="T55" s="2"/>
      <c r="U55" s="2"/>
      <c r="V55" s="2"/>
      <c r="W55" s="2"/>
      <c r="X55" s="2"/>
      <c r="Y55" s="2"/>
      <c r="Z55" s="2"/>
    </row>
    <row r="56" spans="1:26" ht="12.75" customHeight="1">
      <c r="A56" s="2"/>
      <c r="B56" s="2"/>
      <c r="C56" s="2"/>
      <c r="D56" s="28"/>
      <c r="E56" s="29"/>
      <c r="F56" s="29"/>
      <c r="G56" s="28"/>
      <c r="H56" s="29"/>
      <c r="I56" s="2"/>
      <c r="J56" s="2"/>
      <c r="K56" s="2"/>
      <c r="L56" s="2"/>
      <c r="M56" s="2"/>
      <c r="N56" s="2"/>
      <c r="O56" s="2"/>
      <c r="P56" s="2"/>
      <c r="Q56" s="2"/>
      <c r="R56" s="2"/>
      <c r="S56" s="2"/>
      <c r="T56" s="2"/>
      <c r="U56" s="2"/>
      <c r="V56" s="2"/>
      <c r="W56" s="2"/>
      <c r="X56" s="2"/>
      <c r="Y56" s="2"/>
      <c r="Z56" s="2"/>
    </row>
    <row r="57" spans="1:26" ht="12.75" customHeight="1">
      <c r="A57" s="2"/>
      <c r="B57" s="2"/>
      <c r="C57" s="2"/>
      <c r="D57" s="28"/>
      <c r="E57" s="29"/>
      <c r="F57" s="29"/>
      <c r="G57" s="28"/>
      <c r="H57" s="29"/>
      <c r="I57" s="2"/>
      <c r="J57" s="2"/>
      <c r="K57" s="2"/>
      <c r="L57" s="2"/>
      <c r="M57" s="2"/>
      <c r="N57" s="2"/>
      <c r="O57" s="2"/>
      <c r="P57" s="2"/>
      <c r="Q57" s="2"/>
      <c r="R57" s="2"/>
      <c r="S57" s="2"/>
      <c r="T57" s="2"/>
      <c r="U57" s="2"/>
      <c r="V57" s="2"/>
      <c r="W57" s="2"/>
      <c r="X57" s="2"/>
      <c r="Y57" s="2"/>
      <c r="Z57" s="2"/>
    </row>
    <row r="58" spans="1:26" ht="12.75" customHeight="1">
      <c r="A58" s="2"/>
      <c r="B58" s="2"/>
      <c r="C58" s="2"/>
      <c r="D58" s="28"/>
      <c r="E58" s="29"/>
      <c r="F58" s="29"/>
      <c r="G58" s="28"/>
      <c r="H58" s="29"/>
      <c r="I58" s="2"/>
      <c r="J58" s="2"/>
      <c r="K58" s="2"/>
      <c r="L58" s="2"/>
      <c r="M58" s="2"/>
      <c r="N58" s="2"/>
      <c r="O58" s="2"/>
      <c r="P58" s="2"/>
      <c r="Q58" s="2"/>
      <c r="R58" s="2"/>
      <c r="S58" s="2"/>
      <c r="T58" s="2"/>
      <c r="U58" s="2"/>
      <c r="V58" s="2"/>
      <c r="W58" s="2"/>
      <c r="X58" s="2"/>
      <c r="Y58" s="2"/>
      <c r="Z58" s="2"/>
    </row>
    <row r="59" spans="1:26" ht="12.75" customHeight="1">
      <c r="A59" s="2"/>
      <c r="B59" s="2"/>
      <c r="C59" s="2"/>
      <c r="D59" s="28"/>
      <c r="E59" s="29"/>
      <c r="F59" s="29"/>
      <c r="G59" s="28"/>
      <c r="H59" s="29"/>
      <c r="I59" s="2"/>
      <c r="J59" s="2"/>
      <c r="K59" s="2"/>
      <c r="L59" s="2"/>
      <c r="M59" s="2"/>
      <c r="N59" s="2"/>
      <c r="O59" s="2"/>
      <c r="P59" s="2"/>
      <c r="Q59" s="2"/>
      <c r="R59" s="2"/>
      <c r="S59" s="2"/>
      <c r="T59" s="2"/>
      <c r="U59" s="2"/>
      <c r="V59" s="2"/>
      <c r="W59" s="2"/>
      <c r="X59" s="2"/>
      <c r="Y59" s="2"/>
      <c r="Z59" s="2"/>
    </row>
    <row r="60" spans="1:26" ht="12.75" customHeight="1">
      <c r="A60" s="2"/>
      <c r="B60" s="2"/>
      <c r="C60" s="2"/>
      <c r="D60" s="28"/>
      <c r="E60" s="29"/>
      <c r="F60" s="29"/>
      <c r="G60" s="28"/>
      <c r="H60" s="29"/>
      <c r="I60" s="2"/>
      <c r="J60" s="2"/>
      <c r="K60" s="2"/>
      <c r="L60" s="2"/>
      <c r="M60" s="2"/>
      <c r="N60" s="2"/>
      <c r="O60" s="2"/>
      <c r="P60" s="2"/>
      <c r="Q60" s="2"/>
      <c r="R60" s="2"/>
      <c r="S60" s="2"/>
      <c r="T60" s="2"/>
      <c r="U60" s="2"/>
      <c r="V60" s="2"/>
      <c r="W60" s="2"/>
      <c r="X60" s="2"/>
      <c r="Y60" s="2"/>
      <c r="Z60" s="2"/>
    </row>
    <row r="61" spans="1:26" ht="12.75" customHeight="1">
      <c r="A61" s="2"/>
      <c r="B61" s="2"/>
      <c r="C61" s="2"/>
      <c r="D61" s="28"/>
      <c r="E61" s="29"/>
      <c r="F61" s="29"/>
      <c r="G61" s="28"/>
      <c r="H61" s="29"/>
      <c r="I61" s="2"/>
      <c r="J61" s="2"/>
      <c r="K61" s="2"/>
      <c r="L61" s="2"/>
      <c r="M61" s="2"/>
      <c r="N61" s="2"/>
      <c r="O61" s="2"/>
      <c r="P61" s="2"/>
      <c r="Q61" s="2"/>
      <c r="R61" s="2"/>
      <c r="S61" s="2"/>
      <c r="T61" s="2"/>
      <c r="U61" s="2"/>
      <c r="V61" s="2"/>
      <c r="W61" s="2"/>
      <c r="X61" s="2"/>
      <c r="Y61" s="2"/>
      <c r="Z61" s="2"/>
    </row>
    <row r="62" spans="1:26" ht="12.75" customHeight="1">
      <c r="A62" s="2"/>
      <c r="B62" s="2"/>
      <c r="C62" s="2"/>
      <c r="D62" s="28"/>
      <c r="E62" s="29"/>
      <c r="F62" s="29"/>
      <c r="G62" s="28"/>
      <c r="H62" s="29"/>
      <c r="I62" s="2"/>
      <c r="J62" s="2"/>
      <c r="K62" s="2"/>
      <c r="L62" s="2"/>
      <c r="M62" s="2"/>
      <c r="N62" s="2"/>
      <c r="O62" s="2"/>
      <c r="P62" s="2"/>
      <c r="Q62" s="2"/>
      <c r="R62" s="2"/>
      <c r="S62" s="2"/>
      <c r="T62" s="2"/>
      <c r="U62" s="2"/>
      <c r="V62" s="2"/>
      <c r="W62" s="2"/>
      <c r="X62" s="2"/>
      <c r="Y62" s="2"/>
      <c r="Z62" s="2"/>
    </row>
    <row r="63" spans="1:26" ht="12.75" customHeight="1">
      <c r="A63" s="2"/>
      <c r="B63" s="2"/>
      <c r="C63" s="2"/>
      <c r="D63" s="28"/>
      <c r="E63" s="29"/>
      <c r="F63" s="29"/>
      <c r="G63" s="28"/>
      <c r="H63" s="29"/>
      <c r="I63" s="2"/>
      <c r="J63" s="2"/>
      <c r="K63" s="2"/>
      <c r="L63" s="2"/>
      <c r="M63" s="2"/>
      <c r="N63" s="2"/>
      <c r="O63" s="2"/>
      <c r="P63" s="2"/>
      <c r="Q63" s="2"/>
      <c r="R63" s="2"/>
      <c r="S63" s="2"/>
      <c r="T63" s="2"/>
      <c r="U63" s="2"/>
      <c r="V63" s="2"/>
      <c r="W63" s="2"/>
      <c r="X63" s="2"/>
      <c r="Y63" s="2"/>
      <c r="Z63" s="2"/>
    </row>
    <row r="64" spans="1:26" ht="12.75" customHeight="1">
      <c r="A64" s="2"/>
      <c r="B64" s="2"/>
      <c r="C64" s="2"/>
      <c r="D64" s="28"/>
      <c r="E64" s="29"/>
      <c r="F64" s="29"/>
      <c r="G64" s="28"/>
      <c r="H64" s="29"/>
      <c r="I64" s="2"/>
      <c r="J64" s="2"/>
      <c r="K64" s="2"/>
      <c r="L64" s="2"/>
      <c r="M64" s="2"/>
      <c r="N64" s="2"/>
      <c r="O64" s="2"/>
      <c r="P64" s="2"/>
      <c r="Q64" s="2"/>
      <c r="R64" s="2"/>
      <c r="S64" s="2"/>
      <c r="T64" s="2"/>
      <c r="U64" s="2"/>
      <c r="V64" s="2"/>
      <c r="W64" s="2"/>
      <c r="X64" s="2"/>
      <c r="Y64" s="2"/>
      <c r="Z64" s="2"/>
    </row>
    <row r="65" spans="1:26" ht="12.75" customHeight="1">
      <c r="A65" s="2"/>
      <c r="B65" s="2"/>
      <c r="C65" s="2"/>
      <c r="D65" s="28"/>
      <c r="E65" s="29"/>
      <c r="F65" s="29"/>
      <c r="G65" s="28"/>
      <c r="H65" s="29"/>
      <c r="I65" s="2"/>
      <c r="J65" s="2"/>
      <c r="K65" s="2"/>
      <c r="L65" s="2"/>
      <c r="M65" s="2"/>
      <c r="N65" s="2"/>
      <c r="O65" s="2"/>
      <c r="P65" s="2"/>
      <c r="Q65" s="2"/>
      <c r="R65" s="2"/>
      <c r="S65" s="2"/>
      <c r="T65" s="2"/>
      <c r="U65" s="2"/>
      <c r="V65" s="2"/>
      <c r="W65" s="2"/>
      <c r="X65" s="2"/>
      <c r="Y65" s="2"/>
      <c r="Z65" s="2"/>
    </row>
    <row r="66" spans="1:26" ht="12.75" customHeight="1">
      <c r="A66" s="2"/>
      <c r="B66" s="2"/>
      <c r="C66" s="2"/>
      <c r="D66" s="28"/>
      <c r="E66" s="29"/>
      <c r="F66" s="29"/>
      <c r="G66" s="28"/>
      <c r="H66" s="29"/>
      <c r="I66" s="2"/>
      <c r="J66" s="2"/>
      <c r="K66" s="2"/>
      <c r="L66" s="2"/>
      <c r="M66" s="2"/>
      <c r="N66" s="2"/>
      <c r="O66" s="2"/>
      <c r="P66" s="2"/>
      <c r="Q66" s="2"/>
      <c r="R66" s="2"/>
      <c r="S66" s="2"/>
      <c r="T66" s="2"/>
      <c r="U66" s="2"/>
      <c r="V66" s="2"/>
      <c r="W66" s="2"/>
      <c r="X66" s="2"/>
      <c r="Y66" s="2"/>
      <c r="Z66" s="2"/>
    </row>
    <row r="67" spans="1:26" ht="12.75" customHeight="1">
      <c r="A67" s="2"/>
      <c r="B67" s="2"/>
      <c r="C67" s="2"/>
      <c r="D67" s="28"/>
      <c r="E67" s="29"/>
      <c r="F67" s="29"/>
      <c r="G67" s="28"/>
      <c r="H67" s="29"/>
      <c r="I67" s="2"/>
      <c r="J67" s="2"/>
      <c r="K67" s="2"/>
      <c r="L67" s="2"/>
      <c r="M67" s="2"/>
      <c r="N67" s="2"/>
      <c r="O67" s="2"/>
      <c r="P67" s="2"/>
      <c r="Q67" s="2"/>
      <c r="R67" s="2"/>
      <c r="S67" s="2"/>
      <c r="T67" s="2"/>
      <c r="U67" s="2"/>
      <c r="V67" s="2"/>
      <c r="W67" s="2"/>
      <c r="X67" s="2"/>
      <c r="Y67" s="2"/>
      <c r="Z67" s="2"/>
    </row>
    <row r="68" spans="1:26" ht="12.75" customHeight="1">
      <c r="A68" s="2"/>
      <c r="B68" s="2"/>
      <c r="C68" s="2"/>
      <c r="D68" s="28"/>
      <c r="E68" s="29"/>
      <c r="F68" s="29"/>
      <c r="G68" s="28"/>
      <c r="H68" s="29"/>
      <c r="I68" s="2"/>
      <c r="J68" s="2"/>
      <c r="K68" s="2"/>
      <c r="L68" s="2"/>
      <c r="M68" s="2"/>
      <c r="N68" s="2"/>
      <c r="O68" s="2"/>
      <c r="P68" s="2"/>
      <c r="Q68" s="2"/>
      <c r="R68" s="2"/>
      <c r="S68" s="2"/>
      <c r="T68" s="2"/>
      <c r="U68" s="2"/>
      <c r="V68" s="2"/>
      <c r="W68" s="2"/>
      <c r="X68" s="2"/>
      <c r="Y68" s="2"/>
      <c r="Z68" s="2"/>
    </row>
    <row r="69" spans="1:26" ht="12.75" customHeight="1">
      <c r="A69" s="2"/>
      <c r="B69" s="2"/>
      <c r="C69" s="2"/>
      <c r="D69" s="28"/>
      <c r="E69" s="29"/>
      <c r="F69" s="29"/>
      <c r="G69" s="28"/>
      <c r="H69" s="29"/>
      <c r="I69" s="2"/>
      <c r="J69" s="2"/>
      <c r="K69" s="2"/>
      <c r="L69" s="2"/>
      <c r="M69" s="2"/>
      <c r="N69" s="2"/>
      <c r="O69" s="2"/>
      <c r="P69" s="2"/>
      <c r="Q69" s="2"/>
      <c r="R69" s="2"/>
      <c r="S69" s="2"/>
      <c r="T69" s="2"/>
      <c r="U69" s="2"/>
      <c r="V69" s="2"/>
      <c r="W69" s="2"/>
      <c r="X69" s="2"/>
      <c r="Y69" s="2"/>
      <c r="Z69" s="2"/>
    </row>
    <row r="70" spans="1:26" ht="12.75" customHeight="1">
      <c r="A70" s="2"/>
      <c r="B70" s="2"/>
      <c r="C70" s="2"/>
      <c r="D70" s="28"/>
      <c r="E70" s="29"/>
      <c r="F70" s="29"/>
      <c r="G70" s="28"/>
      <c r="H70" s="29"/>
      <c r="I70" s="2"/>
      <c r="J70" s="2"/>
      <c r="K70" s="2"/>
      <c r="L70" s="2"/>
      <c r="M70" s="2"/>
      <c r="N70" s="2"/>
      <c r="O70" s="2"/>
      <c r="P70" s="2"/>
      <c r="Q70" s="2"/>
      <c r="R70" s="2"/>
      <c r="S70" s="2"/>
      <c r="T70" s="2"/>
      <c r="U70" s="2"/>
      <c r="V70" s="2"/>
      <c r="W70" s="2"/>
      <c r="X70" s="2"/>
      <c r="Y70" s="2"/>
      <c r="Z70" s="2"/>
    </row>
    <row r="71" spans="1:26" ht="12.75" customHeight="1">
      <c r="A71" s="2"/>
      <c r="B71" s="2"/>
      <c r="C71" s="2"/>
      <c r="D71" s="28"/>
      <c r="E71" s="29"/>
      <c r="F71" s="29"/>
      <c r="G71" s="28"/>
      <c r="H71" s="29"/>
      <c r="I71" s="2"/>
      <c r="J71" s="2"/>
      <c r="K71" s="2"/>
      <c r="L71" s="2"/>
      <c r="M71" s="2"/>
      <c r="N71" s="2"/>
      <c r="O71" s="2"/>
      <c r="P71" s="2"/>
      <c r="Q71" s="2"/>
      <c r="R71" s="2"/>
      <c r="S71" s="2"/>
      <c r="T71" s="2"/>
      <c r="U71" s="2"/>
      <c r="V71" s="2"/>
      <c r="W71" s="2"/>
      <c r="X71" s="2"/>
      <c r="Y71" s="2"/>
      <c r="Z71" s="2"/>
    </row>
    <row r="72" spans="1:26" ht="12.75" customHeight="1">
      <c r="A72" s="2"/>
      <c r="B72" s="2"/>
      <c r="C72" s="2"/>
      <c r="D72" s="28"/>
      <c r="E72" s="29"/>
      <c r="F72" s="29"/>
      <c r="G72" s="28"/>
      <c r="H72" s="29"/>
      <c r="I72" s="2"/>
      <c r="J72" s="2"/>
      <c r="K72" s="2"/>
      <c r="L72" s="2"/>
      <c r="M72" s="2"/>
      <c r="N72" s="2"/>
      <c r="O72" s="2"/>
      <c r="P72" s="2"/>
      <c r="Q72" s="2"/>
      <c r="R72" s="2"/>
      <c r="S72" s="2"/>
      <c r="T72" s="2"/>
      <c r="U72" s="2"/>
      <c r="V72" s="2"/>
      <c r="W72" s="2"/>
      <c r="X72" s="2"/>
      <c r="Y72" s="2"/>
      <c r="Z72" s="2"/>
    </row>
    <row r="73" spans="1:26" ht="12.75" customHeight="1">
      <c r="A73" s="2"/>
      <c r="B73" s="2"/>
      <c r="C73" s="2"/>
      <c r="D73" s="28"/>
      <c r="E73" s="29"/>
      <c r="F73" s="29"/>
      <c r="G73" s="28"/>
      <c r="H73" s="29"/>
      <c r="I73" s="2"/>
      <c r="J73" s="2"/>
      <c r="K73" s="2"/>
      <c r="L73" s="2"/>
      <c r="M73" s="2"/>
      <c r="N73" s="2"/>
      <c r="O73" s="2"/>
      <c r="P73" s="2"/>
      <c r="Q73" s="2"/>
      <c r="R73" s="2"/>
      <c r="S73" s="2"/>
      <c r="T73" s="2"/>
      <c r="U73" s="2"/>
      <c r="V73" s="2"/>
      <c r="W73" s="2"/>
      <c r="X73" s="2"/>
      <c r="Y73" s="2"/>
      <c r="Z73" s="2"/>
    </row>
    <row r="74" spans="1:26" ht="12.75" customHeight="1">
      <c r="A74" s="2"/>
      <c r="B74" s="2"/>
      <c r="C74" s="2"/>
      <c r="D74" s="28"/>
      <c r="E74" s="29"/>
      <c r="F74" s="29"/>
      <c r="G74" s="28"/>
      <c r="H74" s="29"/>
      <c r="I74" s="2"/>
      <c r="J74" s="2"/>
      <c r="K74" s="2"/>
      <c r="L74" s="2"/>
      <c r="M74" s="2"/>
      <c r="N74" s="2"/>
      <c r="O74" s="2"/>
      <c r="P74" s="2"/>
      <c r="Q74" s="2"/>
      <c r="R74" s="2"/>
      <c r="S74" s="2"/>
      <c r="T74" s="2"/>
      <c r="U74" s="2"/>
      <c r="V74" s="2"/>
      <c r="W74" s="2"/>
      <c r="X74" s="2"/>
      <c r="Y74" s="2"/>
      <c r="Z74" s="2"/>
    </row>
    <row r="75" spans="1:26" ht="12.75" customHeight="1">
      <c r="A75" s="2"/>
      <c r="B75" s="2"/>
      <c r="C75" s="2"/>
      <c r="D75" s="28"/>
      <c r="E75" s="29"/>
      <c r="F75" s="29"/>
      <c r="G75" s="28"/>
      <c r="H75" s="29"/>
      <c r="I75" s="2"/>
      <c r="J75" s="2"/>
      <c r="K75" s="2"/>
      <c r="L75" s="2"/>
      <c r="M75" s="2"/>
      <c r="N75" s="2"/>
      <c r="O75" s="2"/>
      <c r="P75" s="2"/>
      <c r="Q75" s="2"/>
      <c r="R75" s="2"/>
      <c r="S75" s="2"/>
      <c r="T75" s="2"/>
      <c r="U75" s="2"/>
      <c r="V75" s="2"/>
      <c r="W75" s="2"/>
      <c r="X75" s="2"/>
      <c r="Y75" s="2"/>
      <c r="Z75" s="2"/>
    </row>
    <row r="76" spans="1:26" ht="12.75" customHeight="1">
      <c r="A76" s="2"/>
      <c r="B76" s="2"/>
      <c r="C76" s="2"/>
      <c r="D76" s="28"/>
      <c r="E76" s="29"/>
      <c r="F76" s="29"/>
      <c r="G76" s="28"/>
      <c r="H76" s="29"/>
      <c r="I76" s="2"/>
      <c r="J76" s="2"/>
      <c r="K76" s="2"/>
      <c r="L76" s="2"/>
      <c r="M76" s="2"/>
      <c r="N76" s="2"/>
      <c r="O76" s="2"/>
      <c r="P76" s="2"/>
      <c r="Q76" s="2"/>
      <c r="R76" s="2"/>
      <c r="S76" s="2"/>
      <c r="T76" s="2"/>
      <c r="U76" s="2"/>
      <c r="V76" s="2"/>
      <c r="W76" s="2"/>
      <c r="X76" s="2"/>
      <c r="Y76" s="2"/>
      <c r="Z76" s="2"/>
    </row>
    <row r="77" spans="1:26" ht="12.75" customHeight="1">
      <c r="A77" s="2"/>
      <c r="B77" s="2"/>
      <c r="C77" s="2"/>
      <c r="D77" s="28"/>
      <c r="E77" s="29"/>
      <c r="F77" s="29"/>
      <c r="G77" s="28"/>
      <c r="H77" s="29"/>
      <c r="I77" s="2"/>
      <c r="J77" s="2"/>
      <c r="K77" s="2"/>
      <c r="L77" s="2"/>
      <c r="M77" s="2"/>
      <c r="N77" s="2"/>
      <c r="O77" s="2"/>
      <c r="P77" s="2"/>
      <c r="Q77" s="2"/>
      <c r="R77" s="2"/>
      <c r="S77" s="2"/>
      <c r="T77" s="2"/>
      <c r="U77" s="2"/>
      <c r="V77" s="2"/>
      <c r="W77" s="2"/>
      <c r="X77" s="2"/>
      <c r="Y77" s="2"/>
      <c r="Z77" s="2"/>
    </row>
    <row r="78" spans="1:26" ht="12.75" customHeight="1">
      <c r="A78" s="2"/>
      <c r="B78" s="2"/>
      <c r="C78" s="2"/>
      <c r="D78" s="28"/>
      <c r="E78" s="29"/>
      <c r="F78" s="29"/>
      <c r="G78" s="28"/>
      <c r="H78" s="29"/>
      <c r="I78" s="2"/>
      <c r="J78" s="2"/>
      <c r="K78" s="2"/>
      <c r="L78" s="2"/>
      <c r="M78" s="2"/>
      <c r="N78" s="2"/>
      <c r="O78" s="2"/>
      <c r="P78" s="2"/>
      <c r="Q78" s="2"/>
      <c r="R78" s="2"/>
      <c r="S78" s="2"/>
      <c r="T78" s="2"/>
      <c r="U78" s="2"/>
      <c r="V78" s="2"/>
      <c r="W78" s="2"/>
      <c r="X78" s="2"/>
      <c r="Y78" s="2"/>
      <c r="Z78" s="2"/>
    </row>
    <row r="79" spans="1:26" ht="12.75" customHeight="1">
      <c r="A79" s="2"/>
      <c r="B79" s="2"/>
      <c r="C79" s="2"/>
      <c r="D79" s="28"/>
      <c r="E79" s="29"/>
      <c r="F79" s="29"/>
      <c r="G79" s="28"/>
      <c r="H79" s="29"/>
      <c r="I79" s="2"/>
      <c r="J79" s="2"/>
      <c r="K79" s="2"/>
      <c r="L79" s="2"/>
      <c r="M79" s="2"/>
      <c r="N79" s="2"/>
      <c r="O79" s="2"/>
      <c r="P79" s="2"/>
      <c r="Q79" s="2"/>
      <c r="R79" s="2"/>
      <c r="S79" s="2"/>
      <c r="T79" s="2"/>
      <c r="U79" s="2"/>
      <c r="V79" s="2"/>
      <c r="W79" s="2"/>
      <c r="X79" s="2"/>
      <c r="Y79" s="2"/>
      <c r="Z79" s="2"/>
    </row>
    <row r="80" spans="1:26" ht="12.75" customHeight="1">
      <c r="A80" s="2"/>
      <c r="B80" s="2"/>
      <c r="C80" s="2"/>
      <c r="D80" s="28"/>
      <c r="E80" s="29"/>
      <c r="F80" s="29"/>
      <c r="G80" s="28"/>
      <c r="H80" s="29"/>
      <c r="I80" s="2"/>
      <c r="J80" s="2"/>
      <c r="K80" s="2"/>
      <c r="L80" s="2"/>
      <c r="M80" s="2"/>
      <c r="N80" s="2"/>
      <c r="O80" s="2"/>
      <c r="P80" s="2"/>
      <c r="Q80" s="2"/>
      <c r="R80" s="2"/>
      <c r="S80" s="2"/>
      <c r="T80" s="2"/>
      <c r="U80" s="2"/>
      <c r="V80" s="2"/>
      <c r="W80" s="2"/>
      <c r="X80" s="2"/>
      <c r="Y80" s="2"/>
      <c r="Z80" s="2"/>
    </row>
    <row r="81" spans="1:26" ht="12.75" customHeight="1">
      <c r="A81" s="2"/>
      <c r="B81" s="2"/>
      <c r="C81" s="2"/>
      <c r="D81" s="28"/>
      <c r="E81" s="29"/>
      <c r="F81" s="29"/>
      <c r="G81" s="28"/>
      <c r="H81" s="29"/>
      <c r="I81" s="2"/>
      <c r="J81" s="2"/>
      <c r="K81" s="2"/>
      <c r="L81" s="2"/>
      <c r="M81" s="2"/>
      <c r="N81" s="2"/>
      <c r="O81" s="2"/>
      <c r="P81" s="2"/>
      <c r="Q81" s="2"/>
      <c r="R81" s="2"/>
      <c r="S81" s="2"/>
      <c r="T81" s="2"/>
      <c r="U81" s="2"/>
      <c r="V81" s="2"/>
      <c r="W81" s="2"/>
      <c r="X81" s="2"/>
      <c r="Y81" s="2"/>
      <c r="Z81" s="2"/>
    </row>
    <row r="82" spans="1:26" ht="12.75" customHeight="1">
      <c r="A82" s="2"/>
      <c r="B82" s="2"/>
      <c r="C82" s="2"/>
      <c r="D82" s="28"/>
      <c r="E82" s="29"/>
      <c r="F82" s="29"/>
      <c r="G82" s="28"/>
      <c r="H82" s="29"/>
      <c r="I82" s="2"/>
      <c r="J82" s="2"/>
      <c r="K82" s="2"/>
      <c r="L82" s="2"/>
      <c r="M82" s="2"/>
      <c r="N82" s="2"/>
      <c r="O82" s="2"/>
      <c r="P82" s="2"/>
      <c r="Q82" s="2"/>
      <c r="R82" s="2"/>
      <c r="S82" s="2"/>
      <c r="T82" s="2"/>
      <c r="U82" s="2"/>
      <c r="V82" s="2"/>
      <c r="W82" s="2"/>
      <c r="X82" s="2"/>
      <c r="Y82" s="2"/>
      <c r="Z82" s="2"/>
    </row>
    <row r="83" spans="1:26" ht="12.75" customHeight="1">
      <c r="A83" s="2"/>
      <c r="B83" s="2"/>
      <c r="C83" s="2"/>
      <c r="D83" s="28"/>
      <c r="E83" s="29"/>
      <c r="F83" s="29"/>
      <c r="G83" s="28"/>
      <c r="H83" s="29"/>
      <c r="I83" s="2"/>
      <c r="J83" s="2"/>
      <c r="K83" s="2"/>
      <c r="L83" s="2"/>
      <c r="M83" s="2"/>
      <c r="N83" s="2"/>
      <c r="O83" s="2"/>
      <c r="P83" s="2"/>
      <c r="Q83" s="2"/>
      <c r="R83" s="2"/>
      <c r="S83" s="2"/>
      <c r="T83" s="2"/>
      <c r="U83" s="2"/>
      <c r="V83" s="2"/>
      <c r="W83" s="2"/>
      <c r="X83" s="2"/>
      <c r="Y83" s="2"/>
      <c r="Z83" s="2"/>
    </row>
    <row r="84" spans="1:26" ht="12.75" customHeight="1">
      <c r="A84" s="2"/>
      <c r="B84" s="2"/>
      <c r="C84" s="2"/>
      <c r="D84" s="28"/>
      <c r="E84" s="29"/>
      <c r="F84" s="29"/>
      <c r="G84" s="28"/>
      <c r="H84" s="29"/>
      <c r="I84" s="2"/>
      <c r="J84" s="2"/>
      <c r="K84" s="2"/>
      <c r="L84" s="2"/>
      <c r="M84" s="2"/>
      <c r="N84" s="2"/>
      <c r="O84" s="2"/>
      <c r="P84" s="2"/>
      <c r="Q84" s="2"/>
      <c r="R84" s="2"/>
      <c r="S84" s="2"/>
      <c r="T84" s="2"/>
      <c r="U84" s="2"/>
      <c r="V84" s="2"/>
      <c r="W84" s="2"/>
      <c r="X84" s="2"/>
      <c r="Y84" s="2"/>
      <c r="Z84" s="2"/>
    </row>
    <row r="85" spans="1:26" ht="12.75" customHeight="1">
      <c r="A85" s="2"/>
      <c r="B85" s="2"/>
      <c r="C85" s="2"/>
      <c r="D85" s="28"/>
      <c r="E85" s="29"/>
      <c r="F85" s="29"/>
      <c r="G85" s="28"/>
      <c r="H85" s="29"/>
      <c r="I85" s="2"/>
      <c r="J85" s="2"/>
      <c r="K85" s="2"/>
      <c r="L85" s="2"/>
      <c r="M85" s="2"/>
      <c r="N85" s="2"/>
      <c r="O85" s="2"/>
      <c r="P85" s="2"/>
      <c r="Q85" s="2"/>
      <c r="R85" s="2"/>
      <c r="S85" s="2"/>
      <c r="T85" s="2"/>
      <c r="U85" s="2"/>
      <c r="V85" s="2"/>
      <c r="W85" s="2"/>
      <c r="X85" s="2"/>
      <c r="Y85" s="2"/>
      <c r="Z85" s="2"/>
    </row>
    <row r="86" spans="1:26" ht="12.75" customHeight="1">
      <c r="A86" s="2"/>
      <c r="B86" s="2"/>
      <c r="C86" s="2"/>
      <c r="D86" s="28"/>
      <c r="E86" s="29"/>
      <c r="F86" s="29"/>
      <c r="G86" s="28"/>
      <c r="H86" s="29"/>
      <c r="I86" s="2"/>
      <c r="J86" s="2"/>
      <c r="K86" s="2"/>
      <c r="L86" s="2"/>
      <c r="M86" s="2"/>
      <c r="N86" s="2"/>
      <c r="O86" s="2"/>
      <c r="P86" s="2"/>
      <c r="Q86" s="2"/>
      <c r="R86" s="2"/>
      <c r="S86" s="2"/>
      <c r="T86" s="2"/>
      <c r="U86" s="2"/>
      <c r="V86" s="2"/>
      <c r="W86" s="2"/>
      <c r="X86" s="2"/>
      <c r="Y86" s="2"/>
      <c r="Z86" s="2"/>
    </row>
    <row r="87" spans="1:26" ht="12.75" customHeight="1">
      <c r="A87" s="2"/>
      <c r="B87" s="2"/>
      <c r="C87" s="2"/>
      <c r="D87" s="28"/>
      <c r="E87" s="29"/>
      <c r="F87" s="29"/>
      <c r="G87" s="28"/>
      <c r="H87" s="29"/>
      <c r="I87" s="2"/>
      <c r="J87" s="2"/>
      <c r="K87" s="2"/>
      <c r="L87" s="2"/>
      <c r="M87" s="2"/>
      <c r="N87" s="2"/>
      <c r="O87" s="2"/>
      <c r="P87" s="2"/>
      <c r="Q87" s="2"/>
      <c r="R87" s="2"/>
      <c r="S87" s="2"/>
      <c r="T87" s="2"/>
      <c r="U87" s="2"/>
      <c r="V87" s="2"/>
      <c r="W87" s="2"/>
      <c r="X87" s="2"/>
      <c r="Y87" s="2"/>
      <c r="Z87" s="2"/>
    </row>
    <row r="88" spans="1:26" ht="12.75" customHeight="1">
      <c r="A88" s="2"/>
      <c r="B88" s="2"/>
      <c r="C88" s="2"/>
      <c r="D88" s="28"/>
      <c r="E88" s="29"/>
      <c r="F88" s="29"/>
      <c r="G88" s="28"/>
      <c r="H88" s="29"/>
      <c r="I88" s="2"/>
      <c r="J88" s="2"/>
      <c r="K88" s="2"/>
      <c r="L88" s="2"/>
      <c r="M88" s="2"/>
      <c r="N88" s="2"/>
      <c r="O88" s="2"/>
      <c r="P88" s="2"/>
      <c r="Q88" s="2"/>
      <c r="R88" s="2"/>
      <c r="S88" s="2"/>
      <c r="T88" s="2"/>
      <c r="U88" s="2"/>
      <c r="V88" s="2"/>
      <c r="W88" s="2"/>
      <c r="X88" s="2"/>
      <c r="Y88" s="2"/>
      <c r="Z88" s="2"/>
    </row>
    <row r="89" spans="1:26" ht="12.75" customHeight="1">
      <c r="A89" s="2"/>
      <c r="B89" s="2"/>
      <c r="C89" s="2"/>
      <c r="D89" s="28"/>
      <c r="E89" s="29"/>
      <c r="F89" s="29"/>
      <c r="G89" s="28"/>
      <c r="H89" s="29"/>
      <c r="I89" s="2"/>
      <c r="J89" s="2"/>
      <c r="K89" s="2"/>
      <c r="L89" s="2"/>
      <c r="M89" s="2"/>
      <c r="N89" s="2"/>
      <c r="O89" s="2"/>
      <c r="P89" s="2"/>
      <c r="Q89" s="2"/>
      <c r="R89" s="2"/>
      <c r="S89" s="2"/>
      <c r="T89" s="2"/>
      <c r="U89" s="2"/>
      <c r="V89" s="2"/>
      <c r="W89" s="2"/>
      <c r="X89" s="2"/>
      <c r="Y89" s="2"/>
      <c r="Z89" s="2"/>
    </row>
    <row r="90" spans="1:26" ht="12.75" customHeight="1">
      <c r="A90" s="2"/>
      <c r="B90" s="2"/>
      <c r="C90" s="2"/>
      <c r="D90" s="28"/>
      <c r="E90" s="29"/>
      <c r="F90" s="29"/>
      <c r="G90" s="28"/>
      <c r="H90" s="29"/>
      <c r="I90" s="2"/>
      <c r="J90" s="2"/>
      <c r="K90" s="2"/>
      <c r="L90" s="2"/>
      <c r="M90" s="2"/>
      <c r="N90" s="2"/>
      <c r="O90" s="2"/>
      <c r="P90" s="2"/>
      <c r="Q90" s="2"/>
      <c r="R90" s="2"/>
      <c r="S90" s="2"/>
      <c r="T90" s="2"/>
      <c r="U90" s="2"/>
      <c r="V90" s="2"/>
      <c r="W90" s="2"/>
      <c r="X90" s="2"/>
      <c r="Y90" s="2"/>
      <c r="Z90" s="2"/>
    </row>
    <row r="91" spans="1:26" ht="12.75" customHeight="1">
      <c r="A91" s="2"/>
      <c r="B91" s="2"/>
      <c r="C91" s="2"/>
      <c r="D91" s="28"/>
      <c r="E91" s="29"/>
      <c r="F91" s="29"/>
      <c r="G91" s="28"/>
      <c r="H91" s="29"/>
      <c r="I91" s="2"/>
      <c r="J91" s="2"/>
      <c r="K91" s="2"/>
      <c r="L91" s="2"/>
      <c r="M91" s="2"/>
      <c r="N91" s="2"/>
      <c r="O91" s="2"/>
      <c r="P91" s="2"/>
      <c r="Q91" s="2"/>
      <c r="R91" s="2"/>
      <c r="S91" s="2"/>
      <c r="T91" s="2"/>
      <c r="U91" s="2"/>
      <c r="V91" s="2"/>
      <c r="W91" s="2"/>
      <c r="X91" s="2"/>
      <c r="Y91" s="2"/>
      <c r="Z91" s="2"/>
    </row>
    <row r="92" spans="1:26" ht="12.75" customHeight="1">
      <c r="A92" s="2"/>
      <c r="B92" s="2"/>
      <c r="C92" s="2"/>
      <c r="D92" s="28"/>
      <c r="E92" s="29"/>
      <c r="F92" s="29"/>
      <c r="G92" s="28"/>
      <c r="H92" s="29"/>
      <c r="I92" s="2"/>
      <c r="J92" s="2"/>
      <c r="K92" s="2"/>
      <c r="L92" s="2"/>
      <c r="M92" s="2"/>
      <c r="N92" s="2"/>
      <c r="O92" s="2"/>
      <c r="P92" s="2"/>
      <c r="Q92" s="2"/>
      <c r="R92" s="2"/>
      <c r="S92" s="2"/>
      <c r="T92" s="2"/>
      <c r="U92" s="2"/>
      <c r="V92" s="2"/>
      <c r="W92" s="2"/>
      <c r="X92" s="2"/>
      <c r="Y92" s="2"/>
      <c r="Z92" s="2"/>
    </row>
    <row r="93" spans="1:26" ht="12.75" customHeight="1">
      <c r="A93" s="2"/>
      <c r="B93" s="2"/>
      <c r="C93" s="2"/>
      <c r="D93" s="28"/>
      <c r="E93" s="29"/>
      <c r="F93" s="29"/>
      <c r="G93" s="28"/>
      <c r="H93" s="29"/>
      <c r="I93" s="2"/>
      <c r="J93" s="2"/>
      <c r="K93" s="2"/>
      <c r="L93" s="2"/>
      <c r="M93" s="2"/>
      <c r="N93" s="2"/>
      <c r="O93" s="2"/>
      <c r="P93" s="2"/>
      <c r="Q93" s="2"/>
      <c r="R93" s="2"/>
      <c r="S93" s="2"/>
      <c r="T93" s="2"/>
      <c r="U93" s="2"/>
      <c r="V93" s="2"/>
      <c r="W93" s="2"/>
      <c r="X93" s="2"/>
      <c r="Y93" s="2"/>
      <c r="Z93" s="2"/>
    </row>
    <row r="94" spans="1:26" ht="12.75" customHeight="1">
      <c r="A94" s="2"/>
      <c r="B94" s="2"/>
      <c r="C94" s="2"/>
      <c r="D94" s="28"/>
      <c r="E94" s="29"/>
      <c r="F94" s="29"/>
      <c r="G94" s="28"/>
      <c r="H94" s="29"/>
      <c r="I94" s="2"/>
      <c r="J94" s="2"/>
      <c r="K94" s="2"/>
      <c r="L94" s="2"/>
      <c r="M94" s="2"/>
      <c r="N94" s="2"/>
      <c r="O94" s="2"/>
      <c r="P94" s="2"/>
      <c r="Q94" s="2"/>
      <c r="R94" s="2"/>
      <c r="S94" s="2"/>
      <c r="T94" s="2"/>
      <c r="U94" s="2"/>
      <c r="V94" s="2"/>
      <c r="W94" s="2"/>
      <c r="X94" s="2"/>
      <c r="Y94" s="2"/>
      <c r="Z94" s="2"/>
    </row>
    <row r="95" spans="1:26" ht="12.75" customHeight="1">
      <c r="A95" s="2"/>
      <c r="B95" s="2"/>
      <c r="C95" s="2"/>
      <c r="D95" s="28"/>
      <c r="E95" s="29"/>
      <c r="F95" s="29"/>
      <c r="G95" s="28"/>
      <c r="H95" s="29"/>
      <c r="I95" s="2"/>
      <c r="J95" s="2"/>
      <c r="K95" s="2"/>
      <c r="L95" s="2"/>
      <c r="M95" s="2"/>
      <c r="N95" s="2"/>
      <c r="O95" s="2"/>
      <c r="P95" s="2"/>
      <c r="Q95" s="2"/>
      <c r="R95" s="2"/>
      <c r="S95" s="2"/>
      <c r="T95" s="2"/>
      <c r="U95" s="2"/>
      <c r="V95" s="2"/>
      <c r="W95" s="2"/>
      <c r="X95" s="2"/>
      <c r="Y95" s="2"/>
      <c r="Z95" s="2"/>
    </row>
    <row r="96" spans="1:26" ht="12.75" customHeight="1">
      <c r="A96" s="2"/>
      <c r="B96" s="2"/>
      <c r="C96" s="2"/>
      <c r="D96" s="28"/>
      <c r="E96" s="29"/>
      <c r="F96" s="29"/>
      <c r="G96" s="28"/>
      <c r="H96" s="29"/>
      <c r="I96" s="2"/>
      <c r="J96" s="2"/>
      <c r="K96" s="2"/>
      <c r="L96" s="2"/>
      <c r="M96" s="2"/>
      <c r="N96" s="2"/>
      <c r="O96" s="2"/>
      <c r="P96" s="2"/>
      <c r="Q96" s="2"/>
      <c r="R96" s="2"/>
      <c r="S96" s="2"/>
      <c r="T96" s="2"/>
      <c r="U96" s="2"/>
      <c r="V96" s="2"/>
      <c r="W96" s="2"/>
      <c r="X96" s="2"/>
      <c r="Y96" s="2"/>
      <c r="Z96" s="2"/>
    </row>
    <row r="97" spans="1:26" ht="12.75" customHeight="1">
      <c r="A97" s="2"/>
      <c r="B97" s="2"/>
      <c r="C97" s="2"/>
      <c r="D97" s="28"/>
      <c r="E97" s="29"/>
      <c r="F97" s="29"/>
      <c r="G97" s="28"/>
      <c r="H97" s="29"/>
      <c r="I97" s="2"/>
      <c r="J97" s="2"/>
      <c r="K97" s="2"/>
      <c r="L97" s="2"/>
      <c r="M97" s="2"/>
      <c r="N97" s="2"/>
      <c r="O97" s="2"/>
      <c r="P97" s="2"/>
      <c r="Q97" s="2"/>
      <c r="R97" s="2"/>
      <c r="S97" s="2"/>
      <c r="T97" s="2"/>
      <c r="U97" s="2"/>
      <c r="V97" s="2"/>
      <c r="W97" s="2"/>
      <c r="X97" s="2"/>
      <c r="Y97" s="2"/>
      <c r="Z97" s="2"/>
    </row>
    <row r="98" spans="1:26" ht="12.75" customHeight="1">
      <c r="A98" s="2"/>
      <c r="B98" s="2"/>
      <c r="C98" s="2"/>
      <c r="D98" s="28"/>
      <c r="E98" s="29"/>
      <c r="F98" s="29"/>
      <c r="G98" s="28"/>
      <c r="H98" s="29"/>
      <c r="I98" s="2"/>
      <c r="J98" s="2"/>
      <c r="K98" s="2"/>
      <c r="L98" s="2"/>
      <c r="M98" s="2"/>
      <c r="N98" s="2"/>
      <c r="O98" s="2"/>
      <c r="P98" s="2"/>
      <c r="Q98" s="2"/>
      <c r="R98" s="2"/>
      <c r="S98" s="2"/>
      <c r="T98" s="2"/>
      <c r="U98" s="2"/>
      <c r="V98" s="2"/>
      <c r="W98" s="2"/>
      <c r="X98" s="2"/>
      <c r="Y98" s="2"/>
      <c r="Z98" s="2"/>
    </row>
    <row r="99" spans="1:26" ht="12.75" customHeight="1">
      <c r="A99" s="2"/>
      <c r="B99" s="2"/>
      <c r="C99" s="2"/>
      <c r="D99" s="28"/>
      <c r="E99" s="29"/>
      <c r="F99" s="29"/>
      <c r="G99" s="28"/>
      <c r="H99" s="29"/>
      <c r="I99" s="2"/>
      <c r="J99" s="2"/>
      <c r="K99" s="2"/>
      <c r="L99" s="2"/>
      <c r="M99" s="2"/>
      <c r="N99" s="2"/>
      <c r="O99" s="2"/>
      <c r="P99" s="2"/>
      <c r="Q99" s="2"/>
      <c r="R99" s="2"/>
      <c r="S99" s="2"/>
      <c r="T99" s="2"/>
      <c r="U99" s="2"/>
      <c r="V99" s="2"/>
      <c r="W99" s="2"/>
      <c r="X99" s="2"/>
      <c r="Y99" s="2"/>
      <c r="Z99" s="2"/>
    </row>
    <row r="100" spans="1:26" ht="12.75" customHeight="1">
      <c r="A100" s="2"/>
      <c r="B100" s="2"/>
      <c r="C100" s="2"/>
      <c r="D100" s="28"/>
      <c r="E100" s="29"/>
      <c r="F100" s="29"/>
      <c r="G100" s="28"/>
      <c r="H100" s="29"/>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8"/>
      <c r="E101" s="29"/>
      <c r="F101" s="29"/>
      <c r="G101" s="28"/>
      <c r="H101" s="29"/>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8"/>
      <c r="E102" s="29"/>
      <c r="F102" s="29"/>
      <c r="G102" s="28"/>
      <c r="H102" s="29"/>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8"/>
      <c r="E103" s="29"/>
      <c r="F103" s="29"/>
      <c r="G103" s="28"/>
      <c r="H103" s="29"/>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8"/>
      <c r="E104" s="29"/>
      <c r="F104" s="29"/>
      <c r="G104" s="28"/>
      <c r="H104" s="29"/>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8"/>
      <c r="E105" s="29"/>
      <c r="F105" s="29"/>
      <c r="G105" s="28"/>
      <c r="H105" s="29"/>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8"/>
      <c r="E106" s="29"/>
      <c r="F106" s="29"/>
      <c r="G106" s="28"/>
      <c r="H106" s="29"/>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8"/>
      <c r="E107" s="29"/>
      <c r="F107" s="29"/>
      <c r="G107" s="28"/>
      <c r="H107" s="29"/>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8"/>
      <c r="E108" s="29"/>
      <c r="F108" s="29"/>
      <c r="G108" s="28"/>
      <c r="H108" s="29"/>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8"/>
      <c r="E109" s="29"/>
      <c r="F109" s="29"/>
      <c r="G109" s="28"/>
      <c r="H109" s="29"/>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8"/>
      <c r="E110" s="29"/>
      <c r="F110" s="29"/>
      <c r="G110" s="28"/>
      <c r="H110" s="29"/>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8"/>
      <c r="E111" s="29"/>
      <c r="F111" s="29"/>
      <c r="G111" s="28"/>
      <c r="H111" s="29"/>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8"/>
      <c r="E112" s="29"/>
      <c r="F112" s="29"/>
      <c r="G112" s="28"/>
      <c r="H112" s="29"/>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8"/>
      <c r="E113" s="29"/>
      <c r="F113" s="29"/>
      <c r="G113" s="28"/>
      <c r="H113" s="29"/>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8"/>
      <c r="E114" s="29"/>
      <c r="F114" s="29"/>
      <c r="G114" s="28"/>
      <c r="H114" s="29"/>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8"/>
      <c r="E115" s="29"/>
      <c r="F115" s="29"/>
      <c r="G115" s="28"/>
      <c r="H115" s="29"/>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8"/>
      <c r="E116" s="29"/>
      <c r="F116" s="29"/>
      <c r="G116" s="28"/>
      <c r="H116" s="29"/>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8"/>
      <c r="E117" s="29"/>
      <c r="F117" s="29"/>
      <c r="G117" s="28"/>
      <c r="H117" s="29"/>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8"/>
      <c r="E118" s="29"/>
      <c r="F118" s="29"/>
      <c r="G118" s="28"/>
      <c r="H118" s="29"/>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8"/>
      <c r="E119" s="29"/>
      <c r="F119" s="29"/>
      <c r="G119" s="28"/>
      <c r="H119" s="29"/>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8"/>
      <c r="E120" s="29"/>
      <c r="F120" s="29"/>
      <c r="G120" s="28"/>
      <c r="H120" s="29"/>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8"/>
      <c r="E121" s="29"/>
      <c r="F121" s="29"/>
      <c r="G121" s="28"/>
      <c r="H121" s="29"/>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8"/>
      <c r="E122" s="29"/>
      <c r="F122" s="29"/>
      <c r="G122" s="28"/>
      <c r="H122" s="29"/>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8"/>
      <c r="E123" s="29"/>
      <c r="F123" s="29"/>
      <c r="G123" s="28"/>
      <c r="H123" s="29"/>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8"/>
      <c r="E124" s="29"/>
      <c r="F124" s="29"/>
      <c r="G124" s="28"/>
      <c r="H124" s="29"/>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8"/>
      <c r="E125" s="29"/>
      <c r="F125" s="29"/>
      <c r="G125" s="28"/>
      <c r="H125" s="29"/>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8"/>
      <c r="E126" s="29"/>
      <c r="F126" s="29"/>
      <c r="G126" s="28"/>
      <c r="H126" s="29"/>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8"/>
      <c r="E127" s="29"/>
      <c r="F127" s="29"/>
      <c r="G127" s="28"/>
      <c r="H127" s="29"/>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8"/>
      <c r="E128" s="29"/>
      <c r="F128" s="29"/>
      <c r="G128" s="28"/>
      <c r="H128" s="29"/>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8"/>
      <c r="E129" s="29"/>
      <c r="F129" s="29"/>
      <c r="G129" s="28"/>
      <c r="H129" s="29"/>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8"/>
      <c r="E130" s="29"/>
      <c r="F130" s="29"/>
      <c r="G130" s="28"/>
      <c r="H130" s="29"/>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8"/>
      <c r="E131" s="29"/>
      <c r="F131" s="29"/>
      <c r="G131" s="28"/>
      <c r="H131" s="29"/>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8"/>
      <c r="E132" s="29"/>
      <c r="F132" s="29"/>
      <c r="G132" s="28"/>
      <c r="H132" s="29"/>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8"/>
      <c r="E133" s="29"/>
      <c r="F133" s="29"/>
      <c r="G133" s="28"/>
      <c r="H133" s="29"/>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8"/>
      <c r="E134" s="29"/>
      <c r="F134" s="29"/>
      <c r="G134" s="28"/>
      <c r="H134" s="29"/>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8"/>
      <c r="E135" s="29"/>
      <c r="F135" s="29"/>
      <c r="G135" s="28"/>
      <c r="H135" s="29"/>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8"/>
      <c r="E136" s="29"/>
      <c r="F136" s="29"/>
      <c r="G136" s="28"/>
      <c r="H136" s="29"/>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8"/>
      <c r="E137" s="29"/>
      <c r="F137" s="29"/>
      <c r="G137" s="28"/>
      <c r="H137" s="29"/>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8"/>
      <c r="E138" s="29"/>
      <c r="F138" s="29"/>
      <c r="G138" s="28"/>
      <c r="H138" s="29"/>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8"/>
      <c r="E139" s="29"/>
      <c r="F139" s="29"/>
      <c r="G139" s="28"/>
      <c r="H139" s="29"/>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8"/>
      <c r="E140" s="29"/>
      <c r="F140" s="29"/>
      <c r="G140" s="28"/>
      <c r="H140" s="29"/>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8"/>
      <c r="E141" s="29"/>
      <c r="F141" s="29"/>
      <c r="G141" s="28"/>
      <c r="H141" s="29"/>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8"/>
      <c r="E142" s="29"/>
      <c r="F142" s="29"/>
      <c r="G142" s="28"/>
      <c r="H142" s="29"/>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8"/>
      <c r="E143" s="29"/>
      <c r="F143" s="29"/>
      <c r="G143" s="28"/>
      <c r="H143" s="29"/>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8"/>
      <c r="E144" s="29"/>
      <c r="F144" s="29"/>
      <c r="G144" s="28"/>
      <c r="H144" s="29"/>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8"/>
      <c r="E145" s="29"/>
      <c r="F145" s="29"/>
      <c r="G145" s="28"/>
      <c r="H145" s="29"/>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8"/>
      <c r="E146" s="29"/>
      <c r="F146" s="29"/>
      <c r="G146" s="28"/>
      <c r="H146" s="29"/>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8"/>
      <c r="E147" s="29"/>
      <c r="F147" s="29"/>
      <c r="G147" s="28"/>
      <c r="H147" s="29"/>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8"/>
      <c r="E148" s="29"/>
      <c r="F148" s="29"/>
      <c r="G148" s="28"/>
      <c r="H148" s="29"/>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8"/>
      <c r="E149" s="29"/>
      <c r="F149" s="29"/>
      <c r="G149" s="28"/>
      <c r="H149" s="29"/>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8"/>
      <c r="E150" s="29"/>
      <c r="F150" s="29"/>
      <c r="G150" s="28"/>
      <c r="H150" s="29"/>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8"/>
      <c r="E151" s="29"/>
      <c r="F151" s="29"/>
      <c r="G151" s="28"/>
      <c r="H151" s="29"/>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8"/>
      <c r="E152" s="29"/>
      <c r="F152" s="29"/>
      <c r="G152" s="28"/>
      <c r="H152" s="29"/>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8"/>
      <c r="E153" s="29"/>
      <c r="F153" s="29"/>
      <c r="G153" s="28"/>
      <c r="H153" s="29"/>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8"/>
      <c r="E154" s="29"/>
      <c r="F154" s="29"/>
      <c r="G154" s="28"/>
      <c r="H154" s="29"/>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8"/>
      <c r="E155" s="29"/>
      <c r="F155" s="29"/>
      <c r="G155" s="28"/>
      <c r="H155" s="29"/>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8"/>
      <c r="E156" s="29"/>
      <c r="F156" s="29"/>
      <c r="G156" s="28"/>
      <c r="H156" s="29"/>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8"/>
      <c r="E157" s="29"/>
      <c r="F157" s="29"/>
      <c r="G157" s="28"/>
      <c r="H157" s="29"/>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8"/>
      <c r="E158" s="29"/>
      <c r="F158" s="29"/>
      <c r="G158" s="28"/>
      <c r="H158" s="29"/>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8"/>
      <c r="E159" s="29"/>
      <c r="F159" s="29"/>
      <c r="G159" s="28"/>
      <c r="H159" s="29"/>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8"/>
      <c r="E160" s="29"/>
      <c r="F160" s="29"/>
      <c r="G160" s="28"/>
      <c r="H160" s="29"/>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8"/>
      <c r="E161" s="29"/>
      <c r="F161" s="29"/>
      <c r="G161" s="28"/>
      <c r="H161" s="29"/>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8"/>
      <c r="E162" s="29"/>
      <c r="F162" s="29"/>
      <c r="G162" s="28"/>
      <c r="H162" s="29"/>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8"/>
      <c r="E163" s="29"/>
      <c r="F163" s="29"/>
      <c r="G163" s="28"/>
      <c r="H163" s="29"/>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8"/>
      <c r="E164" s="29"/>
      <c r="F164" s="29"/>
      <c r="G164" s="28"/>
      <c r="H164" s="29"/>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8"/>
      <c r="E165" s="29"/>
      <c r="F165" s="29"/>
      <c r="G165" s="28"/>
      <c r="H165" s="29"/>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8"/>
      <c r="E166" s="29"/>
      <c r="F166" s="29"/>
      <c r="G166" s="28"/>
      <c r="H166" s="29"/>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8"/>
      <c r="E167" s="29"/>
      <c r="F167" s="29"/>
      <c r="G167" s="28"/>
      <c r="H167" s="29"/>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8"/>
      <c r="E168" s="29"/>
      <c r="F168" s="29"/>
      <c r="G168" s="28"/>
      <c r="H168" s="29"/>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8"/>
      <c r="E169" s="29"/>
      <c r="F169" s="29"/>
      <c r="G169" s="28"/>
      <c r="H169" s="29"/>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8"/>
      <c r="E170" s="29"/>
      <c r="F170" s="29"/>
      <c r="G170" s="28"/>
      <c r="H170" s="29"/>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8"/>
      <c r="E171" s="29"/>
      <c r="F171" s="29"/>
      <c r="G171" s="28"/>
      <c r="H171" s="29"/>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8"/>
      <c r="E172" s="29"/>
      <c r="F172" s="29"/>
      <c r="G172" s="28"/>
      <c r="H172" s="29"/>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8"/>
      <c r="E173" s="29"/>
      <c r="F173" s="29"/>
      <c r="G173" s="28"/>
      <c r="H173" s="29"/>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8"/>
      <c r="E174" s="29"/>
      <c r="F174" s="29"/>
      <c r="G174" s="28"/>
      <c r="H174" s="29"/>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8"/>
      <c r="E175" s="29"/>
      <c r="F175" s="29"/>
      <c r="G175" s="28"/>
      <c r="H175" s="29"/>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8"/>
      <c r="E176" s="29"/>
      <c r="F176" s="29"/>
      <c r="G176" s="28"/>
      <c r="H176" s="29"/>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8"/>
      <c r="E177" s="29"/>
      <c r="F177" s="29"/>
      <c r="G177" s="28"/>
      <c r="H177" s="29"/>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8"/>
      <c r="E178" s="29"/>
      <c r="F178" s="29"/>
      <c r="G178" s="28"/>
      <c r="H178" s="29"/>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8"/>
      <c r="E179" s="29"/>
      <c r="F179" s="29"/>
      <c r="G179" s="28"/>
      <c r="H179" s="29"/>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8"/>
      <c r="E180" s="29"/>
      <c r="F180" s="29"/>
      <c r="G180" s="28"/>
      <c r="H180" s="29"/>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8"/>
      <c r="E181" s="29"/>
      <c r="F181" s="29"/>
      <c r="G181" s="28"/>
      <c r="H181" s="29"/>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8"/>
      <c r="E182" s="29"/>
      <c r="F182" s="29"/>
      <c r="G182" s="28"/>
      <c r="H182" s="29"/>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8"/>
      <c r="E183" s="29"/>
      <c r="F183" s="29"/>
      <c r="G183" s="28"/>
      <c r="H183" s="29"/>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8"/>
      <c r="E184" s="29"/>
      <c r="F184" s="29"/>
      <c r="G184" s="28"/>
      <c r="H184" s="29"/>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8"/>
      <c r="E185" s="29"/>
      <c r="F185" s="29"/>
      <c r="G185" s="28"/>
      <c r="H185" s="29"/>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8"/>
      <c r="E186" s="29"/>
      <c r="F186" s="29"/>
      <c r="G186" s="28"/>
      <c r="H186" s="29"/>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8"/>
      <c r="E187" s="29"/>
      <c r="F187" s="29"/>
      <c r="G187" s="28"/>
      <c r="H187" s="29"/>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8"/>
      <c r="E188" s="29"/>
      <c r="F188" s="29"/>
      <c r="G188" s="28"/>
      <c r="H188" s="29"/>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8"/>
      <c r="E189" s="29"/>
      <c r="F189" s="29"/>
      <c r="G189" s="28"/>
      <c r="H189" s="29"/>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8"/>
      <c r="E190" s="29"/>
      <c r="F190" s="29"/>
      <c r="G190" s="28"/>
      <c r="H190" s="29"/>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8"/>
      <c r="E191" s="29"/>
      <c r="F191" s="29"/>
      <c r="G191" s="28"/>
      <c r="H191" s="29"/>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8"/>
      <c r="E192" s="29"/>
      <c r="F192" s="29"/>
      <c r="G192" s="28"/>
      <c r="H192" s="29"/>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8"/>
      <c r="E193" s="29"/>
      <c r="F193" s="29"/>
      <c r="G193" s="28"/>
      <c r="H193" s="29"/>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8"/>
      <c r="E194" s="29"/>
      <c r="F194" s="29"/>
      <c r="G194" s="28"/>
      <c r="H194" s="29"/>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8"/>
      <c r="E195" s="29"/>
      <c r="F195" s="29"/>
      <c r="G195" s="28"/>
      <c r="H195" s="29"/>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8"/>
      <c r="E196" s="29"/>
      <c r="F196" s="29"/>
      <c r="G196" s="28"/>
      <c r="H196" s="29"/>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8"/>
      <c r="E197" s="29"/>
      <c r="F197" s="29"/>
      <c r="G197" s="28"/>
      <c r="H197" s="29"/>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8"/>
      <c r="E198" s="29"/>
      <c r="F198" s="29"/>
      <c r="G198" s="28"/>
      <c r="H198" s="29"/>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8"/>
      <c r="E199" s="29"/>
      <c r="F199" s="29"/>
      <c r="G199" s="28"/>
      <c r="H199" s="29"/>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8"/>
      <c r="E200" s="29"/>
      <c r="F200" s="29"/>
      <c r="G200" s="28"/>
      <c r="H200" s="29"/>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8"/>
      <c r="E201" s="29"/>
      <c r="F201" s="29"/>
      <c r="G201" s="28"/>
      <c r="H201" s="29"/>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8"/>
      <c r="E202" s="29"/>
      <c r="F202" s="29"/>
      <c r="G202" s="28"/>
      <c r="H202" s="29"/>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8"/>
      <c r="E203" s="29"/>
      <c r="F203" s="29"/>
      <c r="G203" s="28"/>
      <c r="H203" s="29"/>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8"/>
      <c r="E204" s="29"/>
      <c r="F204" s="29"/>
      <c r="G204" s="28"/>
      <c r="H204" s="29"/>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8"/>
      <c r="E205" s="29"/>
      <c r="F205" s="29"/>
      <c r="G205" s="28"/>
      <c r="H205" s="29"/>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8"/>
      <c r="E206" s="29"/>
      <c r="F206" s="29"/>
      <c r="G206" s="28"/>
      <c r="H206" s="29"/>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8"/>
      <c r="E207" s="29"/>
      <c r="F207" s="29"/>
      <c r="G207" s="28"/>
      <c r="H207" s="29"/>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8"/>
      <c r="E208" s="29"/>
      <c r="F208" s="29"/>
      <c r="G208" s="28"/>
      <c r="H208" s="29"/>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8"/>
      <c r="E209" s="29"/>
      <c r="F209" s="29"/>
      <c r="G209" s="28"/>
      <c r="H209" s="29"/>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8"/>
      <c r="E210" s="29"/>
      <c r="F210" s="29"/>
      <c r="G210" s="28"/>
      <c r="H210" s="29"/>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8"/>
      <c r="E211" s="29"/>
      <c r="F211" s="29"/>
      <c r="G211" s="28"/>
      <c r="H211" s="29"/>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8"/>
      <c r="E212" s="29"/>
      <c r="F212" s="29"/>
      <c r="G212" s="28"/>
      <c r="H212" s="29"/>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8"/>
      <c r="E213" s="29"/>
      <c r="F213" s="29"/>
      <c r="G213" s="28"/>
      <c r="H213" s="29"/>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8"/>
      <c r="E214" s="29"/>
      <c r="F214" s="29"/>
      <c r="G214" s="28"/>
      <c r="H214" s="29"/>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8"/>
      <c r="E215" s="29"/>
      <c r="F215" s="29"/>
      <c r="G215" s="28"/>
      <c r="H215" s="29"/>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8"/>
      <c r="E216" s="29"/>
      <c r="F216" s="29"/>
      <c r="G216" s="28"/>
      <c r="H216" s="29"/>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8"/>
      <c r="E217" s="29"/>
      <c r="F217" s="29"/>
      <c r="G217" s="28"/>
      <c r="H217" s="29"/>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8"/>
      <c r="E218" s="29"/>
      <c r="F218" s="29"/>
      <c r="G218" s="28"/>
      <c r="H218" s="29"/>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8"/>
      <c r="E219" s="29"/>
      <c r="F219" s="29"/>
      <c r="G219" s="28"/>
      <c r="H219" s="29"/>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8"/>
      <c r="E220" s="29"/>
      <c r="F220" s="29"/>
      <c r="G220" s="28"/>
      <c r="H220" s="29"/>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8"/>
      <c r="E221" s="29"/>
      <c r="F221" s="29"/>
      <c r="G221" s="28"/>
      <c r="H221" s="29"/>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8"/>
      <c r="E222" s="29"/>
      <c r="F222" s="29"/>
      <c r="G222" s="28"/>
      <c r="H222" s="29"/>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8"/>
      <c r="E223" s="29"/>
      <c r="F223" s="29"/>
      <c r="G223" s="28"/>
      <c r="H223" s="29"/>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8"/>
      <c r="E224" s="29"/>
      <c r="F224" s="29"/>
      <c r="G224" s="28"/>
      <c r="H224" s="29"/>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8"/>
      <c r="E225" s="29"/>
      <c r="F225" s="29"/>
      <c r="G225" s="28"/>
      <c r="H225" s="29"/>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8"/>
      <c r="E226" s="29"/>
      <c r="F226" s="29"/>
      <c r="G226" s="28"/>
      <c r="H226" s="29"/>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8"/>
      <c r="E227" s="29"/>
      <c r="F227" s="29"/>
      <c r="G227" s="28"/>
      <c r="H227" s="29"/>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8"/>
      <c r="E228" s="29"/>
      <c r="F228" s="29"/>
      <c r="G228" s="28"/>
      <c r="H228" s="29"/>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8"/>
      <c r="E229" s="29"/>
      <c r="F229" s="29"/>
      <c r="G229" s="28"/>
      <c r="H229" s="29"/>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8"/>
      <c r="E230" s="29"/>
      <c r="F230" s="29"/>
      <c r="G230" s="28"/>
      <c r="H230" s="29"/>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8"/>
      <c r="E231" s="29"/>
      <c r="F231" s="29"/>
      <c r="G231" s="28"/>
      <c r="H231" s="29"/>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8"/>
      <c r="E232" s="29"/>
      <c r="F232" s="29"/>
      <c r="G232" s="28"/>
      <c r="H232" s="29"/>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8"/>
      <c r="E233" s="29"/>
      <c r="F233" s="29"/>
      <c r="G233" s="28"/>
      <c r="H233" s="29"/>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8"/>
      <c r="E234" s="29"/>
      <c r="F234" s="29"/>
      <c r="G234" s="28"/>
      <c r="H234" s="29"/>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8"/>
      <c r="E235" s="29"/>
      <c r="F235" s="29"/>
      <c r="G235" s="28"/>
      <c r="H235" s="29"/>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8"/>
      <c r="E236" s="29"/>
      <c r="F236" s="29"/>
      <c r="G236" s="28"/>
      <c r="H236" s="29"/>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8"/>
      <c r="E237" s="29"/>
      <c r="F237" s="29"/>
      <c r="G237" s="28"/>
      <c r="H237" s="29"/>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8"/>
      <c r="E238" s="29"/>
      <c r="F238" s="29"/>
      <c r="G238" s="28"/>
      <c r="H238" s="29"/>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8"/>
      <c r="E239" s="29"/>
      <c r="F239" s="29"/>
      <c r="G239" s="28"/>
      <c r="H239" s="29"/>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8"/>
      <c r="E240" s="29"/>
      <c r="F240" s="29"/>
      <c r="G240" s="28"/>
      <c r="H240" s="29"/>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8"/>
      <c r="E241" s="29"/>
      <c r="F241" s="29"/>
      <c r="G241" s="28"/>
      <c r="H241" s="29"/>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8"/>
      <c r="E242" s="29"/>
      <c r="F242" s="29"/>
      <c r="G242" s="28"/>
      <c r="H242" s="29"/>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8"/>
      <c r="E243" s="29"/>
      <c r="F243" s="29"/>
      <c r="G243" s="28"/>
      <c r="H243" s="29"/>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8"/>
      <c r="E244" s="29"/>
      <c r="F244" s="29"/>
      <c r="G244" s="28"/>
      <c r="H244" s="29"/>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8"/>
      <c r="E245" s="29"/>
      <c r="F245" s="29"/>
      <c r="G245" s="28"/>
      <c r="H245" s="29"/>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8"/>
      <c r="E246" s="29"/>
      <c r="F246" s="29"/>
      <c r="G246" s="28"/>
      <c r="H246" s="29"/>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8"/>
      <c r="E247" s="29"/>
      <c r="F247" s="29"/>
      <c r="G247" s="28"/>
      <c r="H247" s="29"/>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8"/>
      <c r="E248" s="29"/>
      <c r="F248" s="29"/>
      <c r="G248" s="28"/>
      <c r="H248" s="29"/>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8"/>
      <c r="E249" s="29"/>
      <c r="F249" s="29"/>
      <c r="G249" s="28"/>
      <c r="H249" s="29"/>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8"/>
      <c r="E250" s="29"/>
      <c r="F250" s="29"/>
      <c r="G250" s="28"/>
      <c r="H250" s="29"/>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8"/>
      <c r="E251" s="29"/>
      <c r="F251" s="29"/>
      <c r="G251" s="28"/>
      <c r="H251" s="29"/>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8"/>
      <c r="E252" s="29"/>
      <c r="F252" s="29"/>
      <c r="G252" s="28"/>
      <c r="H252" s="29"/>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8"/>
      <c r="E253" s="29"/>
      <c r="F253" s="29"/>
      <c r="G253" s="28"/>
      <c r="H253" s="29"/>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8"/>
      <c r="E254" s="29"/>
      <c r="F254" s="29"/>
      <c r="G254" s="28"/>
      <c r="H254" s="29"/>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8"/>
      <c r="E255" s="29"/>
      <c r="F255" s="29"/>
      <c r="G255" s="28"/>
      <c r="H255" s="29"/>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8"/>
      <c r="E256" s="29"/>
      <c r="F256" s="29"/>
      <c r="G256" s="28"/>
      <c r="H256" s="29"/>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8"/>
      <c r="E257" s="29"/>
      <c r="F257" s="29"/>
      <c r="G257" s="28"/>
      <c r="H257" s="29"/>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8"/>
      <c r="E258" s="29"/>
      <c r="F258" s="29"/>
      <c r="G258" s="28"/>
      <c r="H258" s="29"/>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8"/>
      <c r="E259" s="29"/>
      <c r="F259" s="29"/>
      <c r="G259" s="28"/>
      <c r="H259" s="29"/>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8"/>
      <c r="E260" s="29"/>
      <c r="F260" s="29"/>
      <c r="G260" s="28"/>
      <c r="H260" s="29"/>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8"/>
      <c r="E261" s="29"/>
      <c r="F261" s="29"/>
      <c r="G261" s="28"/>
      <c r="H261" s="29"/>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8"/>
      <c r="E262" s="29"/>
      <c r="F262" s="29"/>
      <c r="G262" s="28"/>
      <c r="H262" s="29"/>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8"/>
      <c r="E263" s="29"/>
      <c r="F263" s="29"/>
      <c r="G263" s="28"/>
      <c r="H263" s="29"/>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8"/>
      <c r="E264" s="29"/>
      <c r="F264" s="29"/>
      <c r="G264" s="28"/>
      <c r="H264" s="29"/>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8"/>
      <c r="E265" s="29"/>
      <c r="F265" s="29"/>
      <c r="G265" s="28"/>
      <c r="H265" s="29"/>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8"/>
      <c r="E266" s="29"/>
      <c r="F266" s="29"/>
      <c r="G266" s="28"/>
      <c r="H266" s="29"/>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8"/>
      <c r="E267" s="29"/>
      <c r="F267" s="29"/>
      <c r="G267" s="28"/>
      <c r="H267" s="29"/>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8"/>
      <c r="E268" s="29"/>
      <c r="F268" s="29"/>
      <c r="G268" s="28"/>
      <c r="H268" s="29"/>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8"/>
      <c r="E269" s="29"/>
      <c r="F269" s="29"/>
      <c r="G269" s="28"/>
      <c r="H269" s="29"/>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8"/>
      <c r="E270" s="29"/>
      <c r="F270" s="29"/>
      <c r="G270" s="28"/>
      <c r="H270" s="29"/>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8"/>
      <c r="E271" s="29"/>
      <c r="F271" s="29"/>
      <c r="G271" s="28"/>
      <c r="H271" s="29"/>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8"/>
      <c r="E272" s="29"/>
      <c r="F272" s="29"/>
      <c r="G272" s="28"/>
      <c r="H272" s="29"/>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8"/>
      <c r="E273" s="29"/>
      <c r="F273" s="29"/>
      <c r="G273" s="28"/>
      <c r="H273" s="29"/>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8"/>
      <c r="E274" s="29"/>
      <c r="F274" s="29"/>
      <c r="G274" s="28"/>
      <c r="H274" s="29"/>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8"/>
      <c r="E275" s="29"/>
      <c r="F275" s="29"/>
      <c r="G275" s="28"/>
      <c r="H275" s="29"/>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8"/>
      <c r="E276" s="29"/>
      <c r="F276" s="29"/>
      <c r="G276" s="28"/>
      <c r="H276" s="29"/>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8"/>
      <c r="E277" s="29"/>
      <c r="F277" s="29"/>
      <c r="G277" s="28"/>
      <c r="H277" s="29"/>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8"/>
      <c r="E278" s="29"/>
      <c r="F278" s="29"/>
      <c r="G278" s="28"/>
      <c r="H278" s="29"/>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8"/>
      <c r="E279" s="29"/>
      <c r="F279" s="29"/>
      <c r="G279" s="28"/>
      <c r="H279" s="29"/>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8"/>
      <c r="E280" s="29"/>
      <c r="F280" s="29"/>
      <c r="G280" s="28"/>
      <c r="H280" s="29"/>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8"/>
      <c r="E281" s="29"/>
      <c r="F281" s="29"/>
      <c r="G281" s="28"/>
      <c r="H281" s="29"/>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8"/>
      <c r="E282" s="29"/>
      <c r="F282" s="29"/>
      <c r="G282" s="28"/>
      <c r="H282" s="29"/>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8"/>
      <c r="E283" s="29"/>
      <c r="F283" s="29"/>
      <c r="G283" s="28"/>
      <c r="H283" s="29"/>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8"/>
      <c r="E284" s="29"/>
      <c r="F284" s="29"/>
      <c r="G284" s="28"/>
      <c r="H284" s="29"/>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8"/>
      <c r="E285" s="29"/>
      <c r="F285" s="29"/>
      <c r="G285" s="28"/>
      <c r="H285" s="29"/>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8"/>
      <c r="E286" s="29"/>
      <c r="F286" s="29"/>
      <c r="G286" s="28"/>
      <c r="H286" s="29"/>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8"/>
      <c r="E287" s="29"/>
      <c r="F287" s="29"/>
      <c r="G287" s="28"/>
      <c r="H287" s="29"/>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8"/>
      <c r="E288" s="29"/>
      <c r="F288" s="29"/>
      <c r="G288" s="28"/>
      <c r="H288" s="29"/>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8"/>
      <c r="E289" s="29"/>
      <c r="F289" s="29"/>
      <c r="G289" s="28"/>
      <c r="H289" s="29"/>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8"/>
      <c r="E290" s="29"/>
      <c r="F290" s="29"/>
      <c r="G290" s="28"/>
      <c r="H290" s="29"/>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8"/>
      <c r="E291" s="29"/>
      <c r="F291" s="29"/>
      <c r="G291" s="28"/>
      <c r="H291" s="29"/>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8"/>
      <c r="E292" s="29"/>
      <c r="F292" s="29"/>
      <c r="G292" s="28"/>
      <c r="H292" s="29"/>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8"/>
      <c r="E293" s="29"/>
      <c r="F293" s="29"/>
      <c r="G293" s="28"/>
      <c r="H293" s="29"/>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8"/>
      <c r="E294" s="29"/>
      <c r="F294" s="29"/>
      <c r="G294" s="28"/>
      <c r="H294" s="29"/>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8"/>
      <c r="E295" s="29"/>
      <c r="F295" s="29"/>
      <c r="G295" s="28"/>
      <c r="H295" s="29"/>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8"/>
      <c r="E296" s="29"/>
      <c r="F296" s="29"/>
      <c r="G296" s="28"/>
      <c r="H296" s="29"/>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8"/>
      <c r="E297" s="29"/>
      <c r="F297" s="29"/>
      <c r="G297" s="28"/>
      <c r="H297" s="29"/>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8"/>
      <c r="E298" s="29"/>
      <c r="F298" s="29"/>
      <c r="G298" s="28"/>
      <c r="H298" s="29"/>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8"/>
      <c r="E299" s="29"/>
      <c r="F299" s="29"/>
      <c r="G299" s="28"/>
      <c r="H299" s="29"/>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8"/>
      <c r="E300" s="29"/>
      <c r="F300" s="29"/>
      <c r="G300" s="28"/>
      <c r="H300" s="29"/>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8"/>
      <c r="E301" s="29"/>
      <c r="F301" s="29"/>
      <c r="G301" s="28"/>
      <c r="H301" s="29"/>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8"/>
      <c r="E302" s="29"/>
      <c r="F302" s="29"/>
      <c r="G302" s="28"/>
      <c r="H302" s="29"/>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8"/>
      <c r="E303" s="29"/>
      <c r="F303" s="29"/>
      <c r="G303" s="28"/>
      <c r="H303" s="29"/>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8"/>
      <c r="E304" s="29"/>
      <c r="F304" s="29"/>
      <c r="G304" s="28"/>
      <c r="H304" s="29"/>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8"/>
      <c r="E305" s="29"/>
      <c r="F305" s="29"/>
      <c r="G305" s="28"/>
      <c r="H305" s="29"/>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8"/>
      <c r="E306" s="29"/>
      <c r="F306" s="29"/>
      <c r="G306" s="28"/>
      <c r="H306" s="29"/>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8"/>
      <c r="E307" s="29"/>
      <c r="F307" s="29"/>
      <c r="G307" s="28"/>
      <c r="H307" s="29"/>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8"/>
      <c r="E308" s="29"/>
      <c r="F308" s="29"/>
      <c r="G308" s="28"/>
      <c r="H308" s="29"/>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8"/>
      <c r="E309" s="29"/>
      <c r="F309" s="29"/>
      <c r="G309" s="28"/>
      <c r="H309" s="29"/>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8"/>
      <c r="E310" s="29"/>
      <c r="F310" s="29"/>
      <c r="G310" s="28"/>
      <c r="H310" s="29"/>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8"/>
      <c r="E311" s="29"/>
      <c r="F311" s="29"/>
      <c r="G311" s="28"/>
      <c r="H311" s="29"/>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8"/>
      <c r="E312" s="29"/>
      <c r="F312" s="29"/>
      <c r="G312" s="28"/>
      <c r="H312" s="29"/>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8"/>
      <c r="E313" s="29"/>
      <c r="F313" s="29"/>
      <c r="G313" s="28"/>
      <c r="H313" s="29"/>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8"/>
      <c r="E314" s="29"/>
      <c r="F314" s="29"/>
      <c r="G314" s="28"/>
      <c r="H314" s="29"/>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8"/>
      <c r="E315" s="29"/>
      <c r="F315" s="29"/>
      <c r="G315" s="28"/>
      <c r="H315" s="29"/>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8"/>
      <c r="E316" s="29"/>
      <c r="F316" s="29"/>
      <c r="G316" s="28"/>
      <c r="H316" s="29"/>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8"/>
      <c r="E317" s="29"/>
      <c r="F317" s="29"/>
      <c r="G317" s="28"/>
      <c r="H317" s="29"/>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8"/>
      <c r="E318" s="29"/>
      <c r="F318" s="29"/>
      <c r="G318" s="28"/>
      <c r="H318" s="29"/>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8"/>
      <c r="E319" s="29"/>
      <c r="F319" s="29"/>
      <c r="G319" s="28"/>
      <c r="H319" s="29"/>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8"/>
      <c r="E320" s="29"/>
      <c r="F320" s="29"/>
      <c r="G320" s="28"/>
      <c r="H320" s="29"/>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8"/>
      <c r="E321" s="29"/>
      <c r="F321" s="29"/>
      <c r="G321" s="28"/>
      <c r="H321" s="29"/>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8"/>
      <c r="E322" s="29"/>
      <c r="F322" s="29"/>
      <c r="G322" s="28"/>
      <c r="H322" s="29"/>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8"/>
      <c r="E323" s="29"/>
      <c r="F323" s="29"/>
      <c r="G323" s="28"/>
      <c r="H323" s="29"/>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8"/>
      <c r="E324" s="29"/>
      <c r="F324" s="29"/>
      <c r="G324" s="28"/>
      <c r="H324" s="29"/>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8"/>
      <c r="E325" s="29"/>
      <c r="F325" s="29"/>
      <c r="G325" s="28"/>
      <c r="H325" s="29"/>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8"/>
      <c r="E326" s="29"/>
      <c r="F326" s="29"/>
      <c r="G326" s="28"/>
      <c r="H326" s="29"/>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8"/>
      <c r="E327" s="29"/>
      <c r="F327" s="29"/>
      <c r="G327" s="28"/>
      <c r="H327" s="29"/>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8"/>
      <c r="E328" s="29"/>
      <c r="F328" s="29"/>
      <c r="G328" s="28"/>
      <c r="H328" s="29"/>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8"/>
      <c r="E329" s="29"/>
      <c r="F329" s="29"/>
      <c r="G329" s="28"/>
      <c r="H329" s="29"/>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8"/>
      <c r="E330" s="29"/>
      <c r="F330" s="29"/>
      <c r="G330" s="28"/>
      <c r="H330" s="29"/>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8"/>
      <c r="E331" s="29"/>
      <c r="F331" s="29"/>
      <c r="G331" s="28"/>
      <c r="H331" s="29"/>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8"/>
      <c r="E332" s="29"/>
      <c r="F332" s="29"/>
      <c r="G332" s="28"/>
      <c r="H332" s="29"/>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8"/>
      <c r="E333" s="29"/>
      <c r="F333" s="29"/>
      <c r="G333" s="28"/>
      <c r="H333" s="29"/>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8"/>
      <c r="E334" s="29"/>
      <c r="F334" s="29"/>
      <c r="G334" s="28"/>
      <c r="H334" s="29"/>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8"/>
      <c r="E335" s="29"/>
      <c r="F335" s="29"/>
      <c r="G335" s="28"/>
      <c r="H335" s="29"/>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8"/>
      <c r="E336" s="29"/>
      <c r="F336" s="29"/>
      <c r="G336" s="28"/>
      <c r="H336" s="29"/>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8"/>
      <c r="E337" s="29"/>
      <c r="F337" s="29"/>
      <c r="G337" s="28"/>
      <c r="H337" s="29"/>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8"/>
      <c r="E338" s="29"/>
      <c r="F338" s="29"/>
      <c r="G338" s="28"/>
      <c r="H338" s="29"/>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8"/>
      <c r="E339" s="29"/>
      <c r="F339" s="29"/>
      <c r="G339" s="28"/>
      <c r="H339" s="29"/>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8"/>
      <c r="E340" s="29"/>
      <c r="F340" s="29"/>
      <c r="G340" s="28"/>
      <c r="H340" s="29"/>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8"/>
      <c r="E341" s="29"/>
      <c r="F341" s="29"/>
      <c r="G341" s="28"/>
      <c r="H341" s="29"/>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8"/>
      <c r="E342" s="29"/>
      <c r="F342" s="29"/>
      <c r="G342" s="28"/>
      <c r="H342" s="29"/>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8"/>
      <c r="E343" s="29"/>
      <c r="F343" s="29"/>
      <c r="G343" s="28"/>
      <c r="H343" s="29"/>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8"/>
      <c r="E344" s="29"/>
      <c r="F344" s="29"/>
      <c r="G344" s="28"/>
      <c r="H344" s="29"/>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8"/>
      <c r="E345" s="29"/>
      <c r="F345" s="29"/>
      <c r="G345" s="28"/>
      <c r="H345" s="29"/>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8"/>
      <c r="E346" s="29"/>
      <c r="F346" s="29"/>
      <c r="G346" s="28"/>
      <c r="H346" s="29"/>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8"/>
      <c r="E347" s="29"/>
      <c r="F347" s="29"/>
      <c r="G347" s="28"/>
      <c r="H347" s="29"/>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8"/>
      <c r="E348" s="29"/>
      <c r="F348" s="29"/>
      <c r="G348" s="28"/>
      <c r="H348" s="29"/>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8"/>
      <c r="E349" s="29"/>
      <c r="F349" s="29"/>
      <c r="G349" s="28"/>
      <c r="H349" s="29"/>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8"/>
      <c r="E350" s="29"/>
      <c r="F350" s="29"/>
      <c r="G350" s="28"/>
      <c r="H350" s="29"/>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8"/>
      <c r="E351" s="29"/>
      <c r="F351" s="29"/>
      <c r="G351" s="28"/>
      <c r="H351" s="29"/>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8"/>
      <c r="E352" s="29"/>
      <c r="F352" s="29"/>
      <c r="G352" s="28"/>
      <c r="H352" s="29"/>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8"/>
      <c r="E353" s="29"/>
      <c r="F353" s="29"/>
      <c r="G353" s="28"/>
      <c r="H353" s="29"/>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8"/>
      <c r="E354" s="29"/>
      <c r="F354" s="29"/>
      <c r="G354" s="28"/>
      <c r="H354" s="29"/>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8"/>
      <c r="E355" s="29"/>
      <c r="F355" s="29"/>
      <c r="G355" s="28"/>
      <c r="H355" s="29"/>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8"/>
      <c r="E356" s="29"/>
      <c r="F356" s="29"/>
      <c r="G356" s="28"/>
      <c r="H356" s="29"/>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8"/>
      <c r="E357" s="29"/>
      <c r="F357" s="29"/>
      <c r="G357" s="28"/>
      <c r="H357" s="29"/>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8"/>
      <c r="E358" s="29"/>
      <c r="F358" s="29"/>
      <c r="G358" s="28"/>
      <c r="H358" s="29"/>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8"/>
      <c r="E359" s="29"/>
      <c r="F359" s="29"/>
      <c r="G359" s="28"/>
      <c r="H359" s="29"/>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8"/>
      <c r="E360" s="29"/>
      <c r="F360" s="29"/>
      <c r="G360" s="28"/>
      <c r="H360" s="29"/>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8"/>
      <c r="E361" s="29"/>
      <c r="F361" s="29"/>
      <c r="G361" s="28"/>
      <c r="H361" s="29"/>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8"/>
      <c r="E362" s="29"/>
      <c r="F362" s="29"/>
      <c r="G362" s="28"/>
      <c r="H362" s="29"/>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8"/>
      <c r="E363" s="29"/>
      <c r="F363" s="29"/>
      <c r="G363" s="28"/>
      <c r="H363" s="29"/>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8"/>
      <c r="E364" s="29"/>
      <c r="F364" s="29"/>
      <c r="G364" s="28"/>
      <c r="H364" s="29"/>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8"/>
      <c r="E365" s="29"/>
      <c r="F365" s="29"/>
      <c r="G365" s="28"/>
      <c r="H365" s="29"/>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8"/>
      <c r="E366" s="29"/>
      <c r="F366" s="29"/>
      <c r="G366" s="28"/>
      <c r="H366" s="29"/>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8"/>
      <c r="E367" s="29"/>
      <c r="F367" s="29"/>
      <c r="G367" s="28"/>
      <c r="H367" s="29"/>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8"/>
      <c r="E368" s="29"/>
      <c r="F368" s="29"/>
      <c r="G368" s="28"/>
      <c r="H368" s="29"/>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8"/>
      <c r="E369" s="29"/>
      <c r="F369" s="29"/>
      <c r="G369" s="28"/>
      <c r="H369" s="29"/>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8"/>
      <c r="E370" s="29"/>
      <c r="F370" s="29"/>
      <c r="G370" s="28"/>
      <c r="H370" s="29"/>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8"/>
      <c r="E371" s="29"/>
      <c r="F371" s="29"/>
      <c r="G371" s="28"/>
      <c r="H371" s="29"/>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8"/>
      <c r="E372" s="29"/>
      <c r="F372" s="29"/>
      <c r="G372" s="28"/>
      <c r="H372" s="29"/>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8"/>
      <c r="E373" s="29"/>
      <c r="F373" s="29"/>
      <c r="G373" s="28"/>
      <c r="H373" s="29"/>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8"/>
      <c r="E374" s="29"/>
      <c r="F374" s="29"/>
      <c r="G374" s="28"/>
      <c r="H374" s="29"/>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8"/>
      <c r="E375" s="29"/>
      <c r="F375" s="29"/>
      <c r="G375" s="28"/>
      <c r="H375" s="29"/>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8"/>
      <c r="E376" s="29"/>
      <c r="F376" s="29"/>
      <c r="G376" s="28"/>
      <c r="H376" s="29"/>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8"/>
      <c r="E377" s="29"/>
      <c r="F377" s="29"/>
      <c r="G377" s="28"/>
      <c r="H377" s="29"/>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8"/>
      <c r="E378" s="29"/>
      <c r="F378" s="29"/>
      <c r="G378" s="28"/>
      <c r="H378" s="29"/>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8"/>
      <c r="E379" s="29"/>
      <c r="F379" s="29"/>
      <c r="G379" s="28"/>
      <c r="H379" s="29"/>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8"/>
      <c r="E380" s="29"/>
      <c r="F380" s="29"/>
      <c r="G380" s="28"/>
      <c r="H380" s="29"/>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8"/>
      <c r="E381" s="29"/>
      <c r="F381" s="29"/>
      <c r="G381" s="28"/>
      <c r="H381" s="29"/>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8"/>
      <c r="E382" s="29"/>
      <c r="F382" s="29"/>
      <c r="G382" s="28"/>
      <c r="H382" s="29"/>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8"/>
      <c r="E383" s="29"/>
      <c r="F383" s="29"/>
      <c r="G383" s="28"/>
      <c r="H383" s="29"/>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8"/>
      <c r="E384" s="29"/>
      <c r="F384" s="29"/>
      <c r="G384" s="28"/>
      <c r="H384" s="29"/>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8"/>
      <c r="E385" s="29"/>
      <c r="F385" s="29"/>
      <c r="G385" s="28"/>
      <c r="H385" s="29"/>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8"/>
      <c r="E386" s="29"/>
      <c r="F386" s="29"/>
      <c r="G386" s="28"/>
      <c r="H386" s="29"/>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8"/>
      <c r="E387" s="29"/>
      <c r="F387" s="29"/>
      <c r="G387" s="28"/>
      <c r="H387" s="29"/>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8"/>
      <c r="E388" s="29"/>
      <c r="F388" s="29"/>
      <c r="G388" s="28"/>
      <c r="H388" s="29"/>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8"/>
      <c r="E389" s="29"/>
      <c r="F389" s="29"/>
      <c r="G389" s="28"/>
      <c r="H389" s="29"/>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8"/>
      <c r="E390" s="29"/>
      <c r="F390" s="29"/>
      <c r="G390" s="28"/>
      <c r="H390" s="29"/>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8"/>
      <c r="E391" s="29"/>
      <c r="F391" s="29"/>
      <c r="G391" s="28"/>
      <c r="H391" s="29"/>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8"/>
      <c r="E392" s="29"/>
      <c r="F392" s="29"/>
      <c r="G392" s="28"/>
      <c r="H392" s="29"/>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8"/>
      <c r="E393" s="29"/>
      <c r="F393" s="29"/>
      <c r="G393" s="28"/>
      <c r="H393" s="29"/>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8"/>
      <c r="E394" s="29"/>
      <c r="F394" s="29"/>
      <c r="G394" s="28"/>
      <c r="H394" s="29"/>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8"/>
      <c r="E395" s="29"/>
      <c r="F395" s="29"/>
      <c r="G395" s="28"/>
      <c r="H395" s="29"/>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8"/>
      <c r="E396" s="29"/>
      <c r="F396" s="29"/>
      <c r="G396" s="28"/>
      <c r="H396" s="29"/>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8"/>
      <c r="E397" s="29"/>
      <c r="F397" s="29"/>
      <c r="G397" s="28"/>
      <c r="H397" s="29"/>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8"/>
      <c r="E398" s="29"/>
      <c r="F398" s="29"/>
      <c r="G398" s="28"/>
      <c r="H398" s="29"/>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8"/>
      <c r="E399" s="29"/>
      <c r="F399" s="29"/>
      <c r="G399" s="28"/>
      <c r="H399" s="29"/>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8"/>
      <c r="E400" s="29"/>
      <c r="F400" s="29"/>
      <c r="G400" s="28"/>
      <c r="H400" s="29"/>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8"/>
      <c r="E401" s="29"/>
      <c r="F401" s="29"/>
      <c r="G401" s="28"/>
      <c r="H401" s="29"/>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8"/>
      <c r="E402" s="29"/>
      <c r="F402" s="29"/>
      <c r="G402" s="28"/>
      <c r="H402" s="29"/>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8"/>
      <c r="E403" s="29"/>
      <c r="F403" s="29"/>
      <c r="G403" s="28"/>
      <c r="H403" s="29"/>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8"/>
      <c r="E404" s="29"/>
      <c r="F404" s="29"/>
      <c r="G404" s="28"/>
      <c r="H404" s="29"/>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8"/>
      <c r="E405" s="29"/>
      <c r="F405" s="29"/>
      <c r="G405" s="28"/>
      <c r="H405" s="29"/>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8"/>
      <c r="E406" s="29"/>
      <c r="F406" s="29"/>
      <c r="G406" s="28"/>
      <c r="H406" s="29"/>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8"/>
      <c r="E407" s="29"/>
      <c r="F407" s="29"/>
      <c r="G407" s="28"/>
      <c r="H407" s="29"/>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8"/>
      <c r="E408" s="29"/>
      <c r="F408" s="29"/>
      <c r="G408" s="28"/>
      <c r="H408" s="29"/>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8"/>
      <c r="E409" s="29"/>
      <c r="F409" s="29"/>
      <c r="G409" s="28"/>
      <c r="H409" s="29"/>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8"/>
      <c r="E410" s="29"/>
      <c r="F410" s="29"/>
      <c r="G410" s="28"/>
      <c r="H410" s="29"/>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8"/>
      <c r="E411" s="29"/>
      <c r="F411" s="29"/>
      <c r="G411" s="28"/>
      <c r="H411" s="29"/>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8"/>
      <c r="E412" s="29"/>
      <c r="F412" s="29"/>
      <c r="G412" s="28"/>
      <c r="H412" s="29"/>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8"/>
      <c r="E413" s="29"/>
      <c r="F413" s="29"/>
      <c r="G413" s="28"/>
      <c r="H413" s="29"/>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8"/>
      <c r="E414" s="29"/>
      <c r="F414" s="29"/>
      <c r="G414" s="28"/>
      <c r="H414" s="29"/>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8"/>
      <c r="E415" s="29"/>
      <c r="F415" s="29"/>
      <c r="G415" s="28"/>
      <c r="H415" s="29"/>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8"/>
      <c r="E416" s="29"/>
      <c r="F416" s="29"/>
      <c r="G416" s="28"/>
      <c r="H416" s="29"/>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8"/>
      <c r="E417" s="29"/>
      <c r="F417" s="29"/>
      <c r="G417" s="28"/>
      <c r="H417" s="29"/>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8"/>
      <c r="E418" s="29"/>
      <c r="F418" s="29"/>
      <c r="G418" s="28"/>
      <c r="H418" s="29"/>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8"/>
      <c r="E419" s="29"/>
      <c r="F419" s="29"/>
      <c r="G419" s="28"/>
      <c r="H419" s="29"/>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8"/>
      <c r="E420" s="29"/>
      <c r="F420" s="29"/>
      <c r="G420" s="28"/>
      <c r="H420" s="29"/>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8"/>
      <c r="E421" s="29"/>
      <c r="F421" s="29"/>
      <c r="G421" s="28"/>
      <c r="H421" s="29"/>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8"/>
      <c r="E422" s="29"/>
      <c r="F422" s="29"/>
      <c r="G422" s="28"/>
      <c r="H422" s="29"/>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8"/>
      <c r="E423" s="29"/>
      <c r="F423" s="29"/>
      <c r="G423" s="28"/>
      <c r="H423" s="29"/>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8"/>
      <c r="E424" s="29"/>
      <c r="F424" s="29"/>
      <c r="G424" s="28"/>
      <c r="H424" s="29"/>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8"/>
      <c r="E425" s="29"/>
      <c r="F425" s="29"/>
      <c r="G425" s="28"/>
      <c r="H425" s="29"/>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8"/>
      <c r="E426" s="29"/>
      <c r="F426" s="29"/>
      <c r="G426" s="28"/>
      <c r="H426" s="29"/>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8"/>
      <c r="E427" s="29"/>
      <c r="F427" s="29"/>
      <c r="G427" s="28"/>
      <c r="H427" s="29"/>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8"/>
      <c r="E428" s="29"/>
      <c r="F428" s="29"/>
      <c r="G428" s="28"/>
      <c r="H428" s="29"/>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8"/>
      <c r="E429" s="29"/>
      <c r="F429" s="29"/>
      <c r="G429" s="28"/>
      <c r="H429" s="29"/>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8"/>
      <c r="E430" s="29"/>
      <c r="F430" s="29"/>
      <c r="G430" s="28"/>
      <c r="H430" s="29"/>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8"/>
      <c r="E431" s="29"/>
      <c r="F431" s="29"/>
      <c r="G431" s="28"/>
      <c r="H431" s="29"/>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8"/>
      <c r="E432" s="29"/>
      <c r="F432" s="29"/>
      <c r="G432" s="28"/>
      <c r="H432" s="29"/>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8"/>
      <c r="E433" s="29"/>
      <c r="F433" s="29"/>
      <c r="G433" s="28"/>
      <c r="H433" s="29"/>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8"/>
      <c r="E434" s="29"/>
      <c r="F434" s="29"/>
      <c r="G434" s="28"/>
      <c r="H434" s="29"/>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8"/>
      <c r="E435" s="29"/>
      <c r="F435" s="29"/>
      <c r="G435" s="28"/>
      <c r="H435" s="29"/>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8"/>
      <c r="E436" s="29"/>
      <c r="F436" s="29"/>
      <c r="G436" s="28"/>
      <c r="H436" s="29"/>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8"/>
      <c r="E437" s="29"/>
      <c r="F437" s="29"/>
      <c r="G437" s="28"/>
      <c r="H437" s="29"/>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8"/>
      <c r="E438" s="29"/>
      <c r="F438" s="29"/>
      <c r="G438" s="28"/>
      <c r="H438" s="29"/>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8"/>
      <c r="E439" s="29"/>
      <c r="F439" s="29"/>
      <c r="G439" s="28"/>
      <c r="H439" s="29"/>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8"/>
      <c r="E440" s="29"/>
      <c r="F440" s="29"/>
      <c r="G440" s="28"/>
      <c r="H440" s="29"/>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8"/>
      <c r="E441" s="29"/>
      <c r="F441" s="29"/>
      <c r="G441" s="28"/>
      <c r="H441" s="29"/>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8"/>
      <c r="E442" s="29"/>
      <c r="F442" s="29"/>
      <c r="G442" s="28"/>
      <c r="H442" s="29"/>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8"/>
      <c r="E443" s="29"/>
      <c r="F443" s="29"/>
      <c r="G443" s="28"/>
      <c r="H443" s="29"/>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8"/>
      <c r="E444" s="29"/>
      <c r="F444" s="29"/>
      <c r="G444" s="28"/>
      <c r="H444" s="29"/>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8"/>
      <c r="E445" s="29"/>
      <c r="F445" s="29"/>
      <c r="G445" s="28"/>
      <c r="H445" s="29"/>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8"/>
      <c r="E446" s="29"/>
      <c r="F446" s="29"/>
      <c r="G446" s="28"/>
      <c r="H446" s="29"/>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8"/>
      <c r="E447" s="29"/>
      <c r="F447" s="29"/>
      <c r="G447" s="28"/>
      <c r="H447" s="29"/>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8"/>
      <c r="E448" s="29"/>
      <c r="F448" s="29"/>
      <c r="G448" s="28"/>
      <c r="H448" s="29"/>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8"/>
      <c r="E449" s="29"/>
      <c r="F449" s="29"/>
      <c r="G449" s="28"/>
      <c r="H449" s="29"/>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8"/>
      <c r="E450" s="29"/>
      <c r="F450" s="29"/>
      <c r="G450" s="28"/>
      <c r="H450" s="29"/>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8"/>
      <c r="E451" s="29"/>
      <c r="F451" s="29"/>
      <c r="G451" s="28"/>
      <c r="H451" s="29"/>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8"/>
      <c r="E452" s="29"/>
      <c r="F452" s="29"/>
      <c r="G452" s="28"/>
      <c r="H452" s="29"/>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8"/>
      <c r="E453" s="29"/>
      <c r="F453" s="29"/>
      <c r="G453" s="28"/>
      <c r="H453" s="29"/>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8"/>
      <c r="E454" s="29"/>
      <c r="F454" s="29"/>
      <c r="G454" s="28"/>
      <c r="H454" s="29"/>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8"/>
      <c r="E455" s="29"/>
      <c r="F455" s="29"/>
      <c r="G455" s="28"/>
      <c r="H455" s="29"/>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8"/>
      <c r="E456" s="29"/>
      <c r="F456" s="29"/>
      <c r="G456" s="28"/>
      <c r="H456" s="29"/>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8"/>
      <c r="E457" s="29"/>
      <c r="F457" s="29"/>
      <c r="G457" s="28"/>
      <c r="H457" s="29"/>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8"/>
      <c r="E458" s="29"/>
      <c r="F458" s="29"/>
      <c r="G458" s="28"/>
      <c r="H458" s="29"/>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8"/>
      <c r="E459" s="29"/>
      <c r="F459" s="29"/>
      <c r="G459" s="28"/>
      <c r="H459" s="29"/>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8"/>
      <c r="E460" s="29"/>
      <c r="F460" s="29"/>
      <c r="G460" s="28"/>
      <c r="H460" s="29"/>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8"/>
      <c r="E461" s="29"/>
      <c r="F461" s="29"/>
      <c r="G461" s="28"/>
      <c r="H461" s="29"/>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8"/>
      <c r="E462" s="29"/>
      <c r="F462" s="29"/>
      <c r="G462" s="28"/>
      <c r="H462" s="29"/>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8"/>
      <c r="E463" s="29"/>
      <c r="F463" s="29"/>
      <c r="G463" s="28"/>
      <c r="H463" s="29"/>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8"/>
      <c r="E464" s="29"/>
      <c r="F464" s="29"/>
      <c r="G464" s="28"/>
      <c r="H464" s="29"/>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8"/>
      <c r="E465" s="29"/>
      <c r="F465" s="29"/>
      <c r="G465" s="28"/>
      <c r="H465" s="29"/>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8"/>
      <c r="E466" s="29"/>
      <c r="F466" s="29"/>
      <c r="G466" s="28"/>
      <c r="H466" s="29"/>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8"/>
      <c r="E467" s="29"/>
      <c r="F467" s="29"/>
      <c r="G467" s="28"/>
      <c r="H467" s="29"/>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8"/>
      <c r="E468" s="29"/>
      <c r="F468" s="29"/>
      <c r="G468" s="28"/>
      <c r="H468" s="29"/>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8"/>
      <c r="E469" s="29"/>
      <c r="F469" s="29"/>
      <c r="G469" s="28"/>
      <c r="H469" s="29"/>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8"/>
      <c r="E470" s="29"/>
      <c r="F470" s="29"/>
      <c r="G470" s="28"/>
      <c r="H470" s="29"/>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8"/>
      <c r="E471" s="29"/>
      <c r="F471" s="29"/>
      <c r="G471" s="28"/>
      <c r="H471" s="29"/>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8"/>
      <c r="E472" s="29"/>
      <c r="F472" s="29"/>
      <c r="G472" s="28"/>
      <c r="H472" s="29"/>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8"/>
      <c r="E473" s="29"/>
      <c r="F473" s="29"/>
      <c r="G473" s="28"/>
      <c r="H473" s="29"/>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8"/>
      <c r="E474" s="29"/>
      <c r="F474" s="29"/>
      <c r="G474" s="28"/>
      <c r="H474" s="29"/>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8"/>
      <c r="E475" s="29"/>
      <c r="F475" s="29"/>
      <c r="G475" s="28"/>
      <c r="H475" s="29"/>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8"/>
      <c r="E476" s="29"/>
      <c r="F476" s="29"/>
      <c r="G476" s="28"/>
      <c r="H476" s="29"/>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8"/>
      <c r="E477" s="29"/>
      <c r="F477" s="29"/>
      <c r="G477" s="28"/>
      <c r="H477" s="29"/>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8"/>
      <c r="E478" s="29"/>
      <c r="F478" s="29"/>
      <c r="G478" s="28"/>
      <c r="H478" s="29"/>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8"/>
      <c r="E479" s="29"/>
      <c r="F479" s="29"/>
      <c r="G479" s="28"/>
      <c r="H479" s="29"/>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8"/>
      <c r="E480" s="29"/>
      <c r="F480" s="29"/>
      <c r="G480" s="28"/>
      <c r="H480" s="29"/>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8"/>
      <c r="E481" s="29"/>
      <c r="F481" s="29"/>
      <c r="G481" s="28"/>
      <c r="H481" s="29"/>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8"/>
      <c r="E482" s="29"/>
      <c r="F482" s="29"/>
      <c r="G482" s="28"/>
      <c r="H482" s="29"/>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8"/>
      <c r="E483" s="29"/>
      <c r="F483" s="29"/>
      <c r="G483" s="28"/>
      <c r="H483" s="29"/>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8"/>
      <c r="E484" s="29"/>
      <c r="F484" s="29"/>
      <c r="G484" s="28"/>
      <c r="H484" s="29"/>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8"/>
      <c r="E485" s="29"/>
      <c r="F485" s="29"/>
      <c r="G485" s="28"/>
      <c r="H485" s="29"/>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8"/>
      <c r="E486" s="29"/>
      <c r="F486" s="29"/>
      <c r="G486" s="28"/>
      <c r="H486" s="29"/>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8"/>
      <c r="E487" s="29"/>
      <c r="F487" s="29"/>
      <c r="G487" s="28"/>
      <c r="H487" s="29"/>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8"/>
      <c r="E488" s="29"/>
      <c r="F488" s="29"/>
      <c r="G488" s="28"/>
      <c r="H488" s="29"/>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8"/>
      <c r="E489" s="29"/>
      <c r="F489" s="29"/>
      <c r="G489" s="28"/>
      <c r="H489" s="29"/>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8"/>
      <c r="E490" s="29"/>
      <c r="F490" s="29"/>
      <c r="G490" s="28"/>
      <c r="H490" s="29"/>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8"/>
      <c r="E491" s="29"/>
      <c r="F491" s="29"/>
      <c r="G491" s="28"/>
      <c r="H491" s="29"/>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8"/>
      <c r="E492" s="29"/>
      <c r="F492" s="29"/>
      <c r="G492" s="28"/>
      <c r="H492" s="29"/>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8"/>
      <c r="E493" s="29"/>
      <c r="F493" s="29"/>
      <c r="G493" s="28"/>
      <c r="H493" s="29"/>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8"/>
      <c r="E494" s="29"/>
      <c r="F494" s="29"/>
      <c r="G494" s="28"/>
      <c r="H494" s="29"/>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8"/>
      <c r="E495" s="29"/>
      <c r="F495" s="29"/>
      <c r="G495" s="28"/>
      <c r="H495" s="29"/>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8"/>
      <c r="E496" s="29"/>
      <c r="F496" s="29"/>
      <c r="G496" s="28"/>
      <c r="H496" s="29"/>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8"/>
      <c r="E497" s="29"/>
      <c r="F497" s="29"/>
      <c r="G497" s="28"/>
      <c r="H497" s="29"/>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8"/>
      <c r="E498" s="29"/>
      <c r="F498" s="29"/>
      <c r="G498" s="28"/>
      <c r="H498" s="29"/>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8"/>
      <c r="E499" s="29"/>
      <c r="F499" s="29"/>
      <c r="G499" s="28"/>
      <c r="H499" s="29"/>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8"/>
      <c r="E500" s="29"/>
      <c r="F500" s="29"/>
      <c r="G500" s="28"/>
      <c r="H500" s="29"/>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8"/>
      <c r="E501" s="29"/>
      <c r="F501" s="29"/>
      <c r="G501" s="28"/>
      <c r="H501" s="29"/>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8"/>
      <c r="E502" s="29"/>
      <c r="F502" s="29"/>
      <c r="G502" s="28"/>
      <c r="H502" s="29"/>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8"/>
      <c r="E503" s="29"/>
      <c r="F503" s="29"/>
      <c r="G503" s="28"/>
      <c r="H503" s="29"/>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8"/>
      <c r="E504" s="29"/>
      <c r="F504" s="29"/>
      <c r="G504" s="28"/>
      <c r="H504" s="29"/>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8"/>
      <c r="E505" s="29"/>
      <c r="F505" s="29"/>
      <c r="G505" s="28"/>
      <c r="H505" s="29"/>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8"/>
      <c r="E506" s="29"/>
      <c r="F506" s="29"/>
      <c r="G506" s="28"/>
      <c r="H506" s="29"/>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8"/>
      <c r="E507" s="29"/>
      <c r="F507" s="29"/>
      <c r="G507" s="28"/>
      <c r="H507" s="29"/>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8"/>
      <c r="E508" s="29"/>
      <c r="F508" s="29"/>
      <c r="G508" s="28"/>
      <c r="H508" s="29"/>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8"/>
      <c r="E509" s="29"/>
      <c r="F509" s="29"/>
      <c r="G509" s="28"/>
      <c r="H509" s="29"/>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8"/>
      <c r="E510" s="29"/>
      <c r="F510" s="29"/>
      <c r="G510" s="28"/>
      <c r="H510" s="29"/>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8"/>
      <c r="E511" s="29"/>
      <c r="F511" s="29"/>
      <c r="G511" s="28"/>
      <c r="H511" s="29"/>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8"/>
      <c r="E512" s="29"/>
      <c r="F512" s="29"/>
      <c r="G512" s="28"/>
      <c r="H512" s="29"/>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8"/>
      <c r="E513" s="29"/>
      <c r="F513" s="29"/>
      <c r="G513" s="28"/>
      <c r="H513" s="29"/>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8"/>
      <c r="E514" s="29"/>
      <c r="F514" s="29"/>
      <c r="G514" s="28"/>
      <c r="H514" s="29"/>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8"/>
      <c r="E515" s="29"/>
      <c r="F515" s="29"/>
      <c r="G515" s="28"/>
      <c r="H515" s="29"/>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8"/>
      <c r="E516" s="29"/>
      <c r="F516" s="29"/>
      <c r="G516" s="28"/>
      <c r="H516" s="29"/>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8"/>
      <c r="E517" s="29"/>
      <c r="F517" s="29"/>
      <c r="G517" s="28"/>
      <c r="H517" s="29"/>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8"/>
      <c r="E518" s="29"/>
      <c r="F518" s="29"/>
      <c r="G518" s="28"/>
      <c r="H518" s="29"/>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8"/>
      <c r="E519" s="29"/>
      <c r="F519" s="29"/>
      <c r="G519" s="28"/>
      <c r="H519" s="29"/>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8"/>
      <c r="E520" s="29"/>
      <c r="F520" s="29"/>
      <c r="G520" s="28"/>
      <c r="H520" s="29"/>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8"/>
      <c r="E521" s="29"/>
      <c r="F521" s="29"/>
      <c r="G521" s="28"/>
      <c r="H521" s="29"/>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8"/>
      <c r="E522" s="29"/>
      <c r="F522" s="29"/>
      <c r="G522" s="28"/>
      <c r="H522" s="29"/>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8"/>
      <c r="E523" s="29"/>
      <c r="F523" s="29"/>
      <c r="G523" s="28"/>
      <c r="H523" s="29"/>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8"/>
      <c r="E524" s="29"/>
      <c r="F524" s="29"/>
      <c r="G524" s="28"/>
      <c r="H524" s="29"/>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8"/>
      <c r="E525" s="29"/>
      <c r="F525" s="29"/>
      <c r="G525" s="28"/>
      <c r="H525" s="29"/>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8"/>
      <c r="E526" s="29"/>
      <c r="F526" s="29"/>
      <c r="G526" s="28"/>
      <c r="H526" s="29"/>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8"/>
      <c r="E527" s="29"/>
      <c r="F527" s="29"/>
      <c r="G527" s="28"/>
      <c r="H527" s="29"/>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8"/>
      <c r="E528" s="29"/>
      <c r="F528" s="29"/>
      <c r="G528" s="28"/>
      <c r="H528" s="29"/>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8"/>
      <c r="E529" s="29"/>
      <c r="F529" s="29"/>
      <c r="G529" s="28"/>
      <c r="H529" s="29"/>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8"/>
      <c r="E530" s="29"/>
      <c r="F530" s="29"/>
      <c r="G530" s="28"/>
      <c r="H530" s="29"/>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8"/>
      <c r="E531" s="29"/>
      <c r="F531" s="29"/>
      <c r="G531" s="28"/>
      <c r="H531" s="29"/>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8"/>
      <c r="E532" s="29"/>
      <c r="F532" s="29"/>
      <c r="G532" s="28"/>
      <c r="H532" s="29"/>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8"/>
      <c r="E533" s="29"/>
      <c r="F533" s="29"/>
      <c r="G533" s="28"/>
      <c r="H533" s="29"/>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8"/>
      <c r="E534" s="29"/>
      <c r="F534" s="29"/>
      <c r="G534" s="28"/>
      <c r="H534" s="29"/>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8"/>
      <c r="E535" s="29"/>
      <c r="F535" s="29"/>
      <c r="G535" s="28"/>
      <c r="H535" s="29"/>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8"/>
      <c r="E536" s="29"/>
      <c r="F536" s="29"/>
      <c r="G536" s="28"/>
      <c r="H536" s="29"/>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8"/>
      <c r="E537" s="29"/>
      <c r="F537" s="29"/>
      <c r="G537" s="28"/>
      <c r="H537" s="29"/>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8"/>
      <c r="E538" s="29"/>
      <c r="F538" s="29"/>
      <c r="G538" s="28"/>
      <c r="H538" s="29"/>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8"/>
      <c r="E539" s="29"/>
      <c r="F539" s="29"/>
      <c r="G539" s="28"/>
      <c r="H539" s="29"/>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8"/>
      <c r="E540" s="29"/>
      <c r="F540" s="29"/>
      <c r="G540" s="28"/>
      <c r="H540" s="29"/>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8"/>
      <c r="E541" s="29"/>
      <c r="F541" s="29"/>
      <c r="G541" s="28"/>
      <c r="H541" s="29"/>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8"/>
      <c r="E542" s="29"/>
      <c r="F542" s="29"/>
      <c r="G542" s="28"/>
      <c r="H542" s="29"/>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8"/>
      <c r="E543" s="29"/>
      <c r="F543" s="29"/>
      <c r="G543" s="28"/>
      <c r="H543" s="29"/>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8"/>
      <c r="E544" s="29"/>
      <c r="F544" s="29"/>
      <c r="G544" s="28"/>
      <c r="H544" s="29"/>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8"/>
      <c r="E545" s="29"/>
      <c r="F545" s="29"/>
      <c r="G545" s="28"/>
      <c r="H545" s="29"/>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8"/>
      <c r="E546" s="29"/>
      <c r="F546" s="29"/>
      <c r="G546" s="28"/>
      <c r="H546" s="29"/>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8"/>
      <c r="E547" s="29"/>
      <c r="F547" s="29"/>
      <c r="G547" s="28"/>
      <c r="H547" s="29"/>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8"/>
      <c r="E548" s="29"/>
      <c r="F548" s="29"/>
      <c r="G548" s="28"/>
      <c r="H548" s="29"/>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8"/>
      <c r="E549" s="29"/>
      <c r="F549" s="29"/>
      <c r="G549" s="28"/>
      <c r="H549" s="29"/>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8"/>
      <c r="E550" s="29"/>
      <c r="F550" s="29"/>
      <c r="G550" s="28"/>
      <c r="H550" s="29"/>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8"/>
      <c r="E551" s="29"/>
      <c r="F551" s="29"/>
      <c r="G551" s="28"/>
      <c r="H551" s="29"/>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8"/>
      <c r="E552" s="29"/>
      <c r="F552" s="29"/>
      <c r="G552" s="28"/>
      <c r="H552" s="29"/>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8"/>
      <c r="E553" s="29"/>
      <c r="F553" s="29"/>
      <c r="G553" s="28"/>
      <c r="H553" s="29"/>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8"/>
      <c r="E554" s="29"/>
      <c r="F554" s="29"/>
      <c r="G554" s="28"/>
      <c r="H554" s="29"/>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8"/>
      <c r="E555" s="29"/>
      <c r="F555" s="29"/>
      <c r="G555" s="28"/>
      <c r="H555" s="29"/>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8"/>
      <c r="E556" s="29"/>
      <c r="F556" s="29"/>
      <c r="G556" s="28"/>
      <c r="H556" s="29"/>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8"/>
      <c r="E557" s="29"/>
      <c r="F557" s="29"/>
      <c r="G557" s="28"/>
      <c r="H557" s="29"/>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8"/>
      <c r="E558" s="29"/>
      <c r="F558" s="29"/>
      <c r="G558" s="28"/>
      <c r="H558" s="29"/>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8"/>
      <c r="E559" s="29"/>
      <c r="F559" s="29"/>
      <c r="G559" s="28"/>
      <c r="H559" s="29"/>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8"/>
      <c r="E560" s="29"/>
      <c r="F560" s="29"/>
      <c r="G560" s="28"/>
      <c r="H560" s="29"/>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8"/>
      <c r="E561" s="29"/>
      <c r="F561" s="29"/>
      <c r="G561" s="28"/>
      <c r="H561" s="29"/>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8"/>
      <c r="E562" s="29"/>
      <c r="F562" s="29"/>
      <c r="G562" s="28"/>
      <c r="H562" s="29"/>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8"/>
      <c r="E563" s="29"/>
      <c r="F563" s="29"/>
      <c r="G563" s="28"/>
      <c r="H563" s="29"/>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8"/>
      <c r="E564" s="29"/>
      <c r="F564" s="29"/>
      <c r="G564" s="28"/>
      <c r="H564" s="29"/>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8"/>
      <c r="E565" s="29"/>
      <c r="F565" s="29"/>
      <c r="G565" s="28"/>
      <c r="H565" s="29"/>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8"/>
      <c r="E566" s="29"/>
      <c r="F566" s="29"/>
      <c r="G566" s="28"/>
      <c r="H566" s="29"/>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8"/>
      <c r="E567" s="29"/>
      <c r="F567" s="29"/>
      <c r="G567" s="28"/>
      <c r="H567" s="29"/>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8"/>
      <c r="E568" s="29"/>
      <c r="F568" s="29"/>
      <c r="G568" s="28"/>
      <c r="H568" s="29"/>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8"/>
      <c r="E569" s="29"/>
      <c r="F569" s="29"/>
      <c r="G569" s="28"/>
      <c r="H569" s="29"/>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8"/>
      <c r="E570" s="29"/>
      <c r="F570" s="29"/>
      <c r="G570" s="28"/>
      <c r="H570" s="29"/>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8"/>
      <c r="E571" s="29"/>
      <c r="F571" s="29"/>
      <c r="G571" s="28"/>
      <c r="H571" s="29"/>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8"/>
      <c r="E572" s="29"/>
      <c r="F572" s="29"/>
      <c r="G572" s="28"/>
      <c r="H572" s="29"/>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8"/>
      <c r="E573" s="29"/>
      <c r="F573" s="29"/>
      <c r="G573" s="28"/>
      <c r="H573" s="29"/>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8"/>
      <c r="E574" s="29"/>
      <c r="F574" s="29"/>
      <c r="G574" s="28"/>
      <c r="H574" s="29"/>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8"/>
      <c r="E575" s="29"/>
      <c r="F575" s="29"/>
      <c r="G575" s="28"/>
      <c r="H575" s="29"/>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8"/>
      <c r="E576" s="29"/>
      <c r="F576" s="29"/>
      <c r="G576" s="28"/>
      <c r="H576" s="29"/>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8"/>
      <c r="E577" s="29"/>
      <c r="F577" s="29"/>
      <c r="G577" s="28"/>
      <c r="H577" s="29"/>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8"/>
      <c r="E578" s="29"/>
      <c r="F578" s="29"/>
      <c r="G578" s="28"/>
      <c r="H578" s="29"/>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8"/>
      <c r="E579" s="29"/>
      <c r="F579" s="29"/>
      <c r="G579" s="28"/>
      <c r="H579" s="29"/>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8"/>
      <c r="E580" s="29"/>
      <c r="F580" s="29"/>
      <c r="G580" s="28"/>
      <c r="H580" s="29"/>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8"/>
      <c r="E581" s="29"/>
      <c r="F581" s="29"/>
      <c r="G581" s="28"/>
      <c r="H581" s="29"/>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8"/>
      <c r="E582" s="29"/>
      <c r="F582" s="29"/>
      <c r="G582" s="28"/>
      <c r="H582" s="29"/>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8"/>
      <c r="E583" s="29"/>
      <c r="F583" s="29"/>
      <c r="G583" s="28"/>
      <c r="H583" s="29"/>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8"/>
      <c r="E584" s="29"/>
      <c r="F584" s="29"/>
      <c r="G584" s="28"/>
      <c r="H584" s="29"/>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8"/>
      <c r="E585" s="29"/>
      <c r="F585" s="29"/>
      <c r="G585" s="28"/>
      <c r="H585" s="29"/>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8"/>
      <c r="E586" s="29"/>
      <c r="F586" s="29"/>
      <c r="G586" s="28"/>
      <c r="H586" s="29"/>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8"/>
      <c r="E587" s="29"/>
      <c r="F587" s="29"/>
      <c r="G587" s="28"/>
      <c r="H587" s="29"/>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8"/>
      <c r="E588" s="29"/>
      <c r="F588" s="29"/>
      <c r="G588" s="28"/>
      <c r="H588" s="29"/>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8"/>
      <c r="E589" s="29"/>
      <c r="F589" s="29"/>
      <c r="G589" s="28"/>
      <c r="H589" s="29"/>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8"/>
      <c r="E590" s="29"/>
      <c r="F590" s="29"/>
      <c r="G590" s="28"/>
      <c r="H590" s="29"/>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8"/>
      <c r="E591" s="29"/>
      <c r="F591" s="29"/>
      <c r="G591" s="28"/>
      <c r="H591" s="29"/>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8"/>
      <c r="E592" s="29"/>
      <c r="F592" s="29"/>
      <c r="G592" s="28"/>
      <c r="H592" s="29"/>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8"/>
      <c r="E593" s="29"/>
      <c r="F593" s="29"/>
      <c r="G593" s="28"/>
      <c r="H593" s="29"/>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8"/>
      <c r="E594" s="29"/>
      <c r="F594" s="29"/>
      <c r="G594" s="28"/>
      <c r="H594" s="29"/>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8"/>
      <c r="E595" s="29"/>
      <c r="F595" s="29"/>
      <c r="G595" s="28"/>
      <c r="H595" s="29"/>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8"/>
      <c r="E596" s="29"/>
      <c r="F596" s="29"/>
      <c r="G596" s="28"/>
      <c r="H596" s="29"/>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8"/>
      <c r="E597" s="29"/>
      <c r="F597" s="29"/>
      <c r="G597" s="28"/>
      <c r="H597" s="29"/>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8"/>
      <c r="E598" s="29"/>
      <c r="F598" s="29"/>
      <c r="G598" s="28"/>
      <c r="H598" s="29"/>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8"/>
      <c r="E599" s="29"/>
      <c r="F599" s="29"/>
      <c r="G599" s="28"/>
      <c r="H599" s="29"/>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8"/>
      <c r="E600" s="29"/>
      <c r="F600" s="29"/>
      <c r="G600" s="28"/>
      <c r="H600" s="29"/>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8"/>
      <c r="E601" s="29"/>
      <c r="F601" s="29"/>
      <c r="G601" s="28"/>
      <c r="H601" s="29"/>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8"/>
      <c r="E602" s="29"/>
      <c r="F602" s="29"/>
      <c r="G602" s="28"/>
      <c r="H602" s="29"/>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8"/>
      <c r="E603" s="29"/>
      <c r="F603" s="29"/>
      <c r="G603" s="28"/>
      <c r="H603" s="29"/>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8"/>
      <c r="E604" s="29"/>
      <c r="F604" s="29"/>
      <c r="G604" s="28"/>
      <c r="H604" s="29"/>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8"/>
      <c r="E605" s="29"/>
      <c r="F605" s="29"/>
      <c r="G605" s="28"/>
      <c r="H605" s="29"/>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8"/>
      <c r="E606" s="29"/>
      <c r="F606" s="29"/>
      <c r="G606" s="28"/>
      <c r="H606" s="29"/>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8"/>
      <c r="E607" s="29"/>
      <c r="F607" s="29"/>
      <c r="G607" s="28"/>
      <c r="H607" s="29"/>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8"/>
      <c r="E608" s="29"/>
      <c r="F608" s="29"/>
      <c r="G608" s="28"/>
      <c r="H608" s="29"/>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8"/>
      <c r="E609" s="29"/>
      <c r="F609" s="29"/>
      <c r="G609" s="28"/>
      <c r="H609" s="29"/>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8"/>
      <c r="E610" s="29"/>
      <c r="F610" s="29"/>
      <c r="G610" s="28"/>
      <c r="H610" s="29"/>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8"/>
      <c r="E611" s="29"/>
      <c r="F611" s="29"/>
      <c r="G611" s="28"/>
      <c r="H611" s="29"/>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8"/>
      <c r="E612" s="29"/>
      <c r="F612" s="29"/>
      <c r="G612" s="28"/>
      <c r="H612" s="29"/>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8"/>
      <c r="E613" s="29"/>
      <c r="F613" s="29"/>
      <c r="G613" s="28"/>
      <c r="H613" s="29"/>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8"/>
      <c r="E614" s="29"/>
      <c r="F614" s="29"/>
      <c r="G614" s="28"/>
      <c r="H614" s="29"/>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8"/>
      <c r="E615" s="29"/>
      <c r="F615" s="29"/>
      <c r="G615" s="28"/>
      <c r="H615" s="29"/>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8"/>
      <c r="E616" s="29"/>
      <c r="F616" s="29"/>
      <c r="G616" s="28"/>
      <c r="H616" s="29"/>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8"/>
      <c r="E617" s="29"/>
      <c r="F617" s="29"/>
      <c r="G617" s="28"/>
      <c r="H617" s="29"/>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8"/>
      <c r="E618" s="29"/>
      <c r="F618" s="29"/>
      <c r="G618" s="28"/>
      <c r="H618" s="29"/>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8"/>
      <c r="E619" s="29"/>
      <c r="F619" s="29"/>
      <c r="G619" s="28"/>
      <c r="H619" s="29"/>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8"/>
      <c r="E620" s="29"/>
      <c r="F620" s="29"/>
      <c r="G620" s="28"/>
      <c r="H620" s="29"/>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8"/>
      <c r="E621" s="29"/>
      <c r="F621" s="29"/>
      <c r="G621" s="28"/>
      <c r="H621" s="29"/>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8"/>
      <c r="E622" s="29"/>
      <c r="F622" s="29"/>
      <c r="G622" s="28"/>
      <c r="H622" s="29"/>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8"/>
      <c r="E623" s="29"/>
      <c r="F623" s="29"/>
      <c r="G623" s="28"/>
      <c r="H623" s="29"/>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8"/>
      <c r="E624" s="29"/>
      <c r="F624" s="29"/>
      <c r="G624" s="28"/>
      <c r="H624" s="29"/>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8"/>
      <c r="E625" s="29"/>
      <c r="F625" s="29"/>
      <c r="G625" s="28"/>
      <c r="H625" s="29"/>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8"/>
      <c r="E626" s="29"/>
      <c r="F626" s="29"/>
      <c r="G626" s="28"/>
      <c r="H626" s="29"/>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8"/>
      <c r="E627" s="29"/>
      <c r="F627" s="29"/>
      <c r="G627" s="28"/>
      <c r="H627" s="29"/>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8"/>
      <c r="E628" s="29"/>
      <c r="F628" s="29"/>
      <c r="G628" s="28"/>
      <c r="H628" s="29"/>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8"/>
      <c r="E629" s="29"/>
      <c r="F629" s="29"/>
      <c r="G629" s="28"/>
      <c r="H629" s="29"/>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8"/>
      <c r="E630" s="29"/>
      <c r="F630" s="29"/>
      <c r="G630" s="28"/>
      <c r="H630" s="29"/>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8"/>
      <c r="E631" s="29"/>
      <c r="F631" s="29"/>
      <c r="G631" s="28"/>
      <c r="H631" s="29"/>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8"/>
      <c r="E632" s="29"/>
      <c r="F632" s="29"/>
      <c r="G632" s="28"/>
      <c r="H632" s="29"/>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8"/>
      <c r="E633" s="29"/>
      <c r="F633" s="29"/>
      <c r="G633" s="28"/>
      <c r="H633" s="29"/>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8"/>
      <c r="E634" s="29"/>
      <c r="F634" s="29"/>
      <c r="G634" s="28"/>
      <c r="H634" s="29"/>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8"/>
      <c r="E635" s="29"/>
      <c r="F635" s="29"/>
      <c r="G635" s="28"/>
      <c r="H635" s="29"/>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8"/>
      <c r="E636" s="29"/>
      <c r="F636" s="29"/>
      <c r="G636" s="28"/>
      <c r="H636" s="29"/>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8"/>
      <c r="E637" s="29"/>
      <c r="F637" s="29"/>
      <c r="G637" s="28"/>
      <c r="H637" s="29"/>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8"/>
      <c r="E638" s="29"/>
      <c r="F638" s="29"/>
      <c r="G638" s="28"/>
      <c r="H638" s="29"/>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8"/>
      <c r="E639" s="29"/>
      <c r="F639" s="29"/>
      <c r="G639" s="28"/>
      <c r="H639" s="29"/>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8"/>
      <c r="E640" s="29"/>
      <c r="F640" s="29"/>
      <c r="G640" s="28"/>
      <c r="H640" s="29"/>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8"/>
      <c r="E641" s="29"/>
      <c r="F641" s="29"/>
      <c r="G641" s="28"/>
      <c r="H641" s="29"/>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8"/>
      <c r="E642" s="29"/>
      <c r="F642" s="29"/>
      <c r="G642" s="28"/>
      <c r="H642" s="29"/>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8"/>
      <c r="E643" s="29"/>
      <c r="F643" s="29"/>
      <c r="G643" s="28"/>
      <c r="H643" s="29"/>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8"/>
      <c r="E644" s="29"/>
      <c r="F644" s="29"/>
      <c r="G644" s="28"/>
      <c r="H644" s="29"/>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8"/>
      <c r="E645" s="29"/>
      <c r="F645" s="29"/>
      <c r="G645" s="28"/>
      <c r="H645" s="29"/>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8"/>
      <c r="E646" s="29"/>
      <c r="F646" s="29"/>
      <c r="G646" s="28"/>
      <c r="H646" s="29"/>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8"/>
      <c r="E647" s="29"/>
      <c r="F647" s="29"/>
      <c r="G647" s="28"/>
      <c r="H647" s="29"/>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8"/>
      <c r="E648" s="29"/>
      <c r="F648" s="29"/>
      <c r="G648" s="28"/>
      <c r="H648" s="29"/>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8"/>
      <c r="E649" s="29"/>
      <c r="F649" s="29"/>
      <c r="G649" s="28"/>
      <c r="H649" s="29"/>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8"/>
      <c r="E650" s="29"/>
      <c r="F650" s="29"/>
      <c r="G650" s="28"/>
      <c r="H650" s="29"/>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8"/>
      <c r="E651" s="29"/>
      <c r="F651" s="29"/>
      <c r="G651" s="28"/>
      <c r="H651" s="29"/>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8"/>
      <c r="E652" s="29"/>
      <c r="F652" s="29"/>
      <c r="G652" s="28"/>
      <c r="H652" s="29"/>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8"/>
      <c r="E653" s="29"/>
      <c r="F653" s="29"/>
      <c r="G653" s="28"/>
      <c r="H653" s="29"/>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8"/>
      <c r="E654" s="29"/>
      <c r="F654" s="29"/>
      <c r="G654" s="28"/>
      <c r="H654" s="29"/>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8"/>
      <c r="E655" s="29"/>
      <c r="F655" s="29"/>
      <c r="G655" s="28"/>
      <c r="H655" s="29"/>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8"/>
      <c r="E656" s="29"/>
      <c r="F656" s="29"/>
      <c r="G656" s="28"/>
      <c r="H656" s="29"/>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8"/>
      <c r="E657" s="29"/>
      <c r="F657" s="29"/>
      <c r="G657" s="28"/>
      <c r="H657" s="29"/>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8"/>
      <c r="E658" s="29"/>
      <c r="F658" s="29"/>
      <c r="G658" s="28"/>
      <c r="H658" s="29"/>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8"/>
      <c r="E659" s="29"/>
      <c r="F659" s="29"/>
      <c r="G659" s="28"/>
      <c r="H659" s="29"/>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8"/>
      <c r="E660" s="29"/>
      <c r="F660" s="29"/>
      <c r="G660" s="28"/>
      <c r="H660" s="29"/>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8"/>
      <c r="E661" s="29"/>
      <c r="F661" s="29"/>
      <c r="G661" s="28"/>
      <c r="H661" s="29"/>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8"/>
      <c r="E662" s="29"/>
      <c r="F662" s="29"/>
      <c r="G662" s="28"/>
      <c r="H662" s="29"/>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8"/>
      <c r="E663" s="29"/>
      <c r="F663" s="29"/>
      <c r="G663" s="28"/>
      <c r="H663" s="29"/>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8"/>
      <c r="E664" s="29"/>
      <c r="F664" s="29"/>
      <c r="G664" s="28"/>
      <c r="H664" s="29"/>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8"/>
      <c r="E665" s="29"/>
      <c r="F665" s="29"/>
      <c r="G665" s="28"/>
      <c r="H665" s="29"/>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8"/>
      <c r="E666" s="29"/>
      <c r="F666" s="29"/>
      <c r="G666" s="28"/>
      <c r="H666" s="29"/>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8"/>
      <c r="E667" s="29"/>
      <c r="F667" s="29"/>
      <c r="G667" s="28"/>
      <c r="H667" s="29"/>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8"/>
      <c r="E668" s="29"/>
      <c r="F668" s="29"/>
      <c r="G668" s="28"/>
      <c r="H668" s="29"/>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8"/>
      <c r="E669" s="29"/>
      <c r="F669" s="29"/>
      <c r="G669" s="28"/>
      <c r="H669" s="29"/>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8"/>
      <c r="E670" s="29"/>
      <c r="F670" s="29"/>
      <c r="G670" s="28"/>
      <c r="H670" s="29"/>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8"/>
      <c r="E671" s="29"/>
      <c r="F671" s="29"/>
      <c r="G671" s="28"/>
      <c r="H671" s="29"/>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8"/>
      <c r="E672" s="29"/>
      <c r="F672" s="29"/>
      <c r="G672" s="28"/>
      <c r="H672" s="29"/>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8"/>
      <c r="E673" s="29"/>
      <c r="F673" s="29"/>
      <c r="G673" s="28"/>
      <c r="H673" s="29"/>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8"/>
      <c r="E674" s="29"/>
      <c r="F674" s="29"/>
      <c r="G674" s="28"/>
      <c r="H674" s="29"/>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8"/>
      <c r="E675" s="29"/>
      <c r="F675" s="29"/>
      <c r="G675" s="28"/>
      <c r="H675" s="29"/>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8"/>
      <c r="E676" s="29"/>
      <c r="F676" s="29"/>
      <c r="G676" s="28"/>
      <c r="H676" s="29"/>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8"/>
      <c r="E677" s="29"/>
      <c r="F677" s="29"/>
      <c r="G677" s="28"/>
      <c r="H677" s="29"/>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8"/>
      <c r="E678" s="29"/>
      <c r="F678" s="29"/>
      <c r="G678" s="28"/>
      <c r="H678" s="29"/>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8"/>
      <c r="E679" s="29"/>
      <c r="F679" s="29"/>
      <c r="G679" s="28"/>
      <c r="H679" s="29"/>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8"/>
      <c r="E680" s="29"/>
      <c r="F680" s="29"/>
      <c r="G680" s="28"/>
      <c r="H680" s="29"/>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8"/>
      <c r="E681" s="29"/>
      <c r="F681" s="29"/>
      <c r="G681" s="28"/>
      <c r="H681" s="29"/>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8"/>
      <c r="E682" s="29"/>
      <c r="F682" s="29"/>
      <c r="G682" s="28"/>
      <c r="H682" s="29"/>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8"/>
      <c r="E683" s="29"/>
      <c r="F683" s="29"/>
      <c r="G683" s="28"/>
      <c r="H683" s="29"/>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8"/>
      <c r="E684" s="29"/>
      <c r="F684" s="29"/>
      <c r="G684" s="28"/>
      <c r="H684" s="29"/>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8"/>
      <c r="E685" s="29"/>
      <c r="F685" s="29"/>
      <c r="G685" s="28"/>
      <c r="H685" s="29"/>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8"/>
      <c r="E686" s="29"/>
      <c r="F686" s="29"/>
      <c r="G686" s="28"/>
      <c r="H686" s="29"/>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8"/>
      <c r="E687" s="29"/>
      <c r="F687" s="29"/>
      <c r="G687" s="28"/>
      <c r="H687" s="29"/>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8"/>
      <c r="E688" s="29"/>
      <c r="F688" s="29"/>
      <c r="G688" s="28"/>
      <c r="H688" s="29"/>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8"/>
      <c r="E689" s="29"/>
      <c r="F689" s="29"/>
      <c r="G689" s="28"/>
      <c r="H689" s="29"/>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8"/>
      <c r="E690" s="29"/>
      <c r="F690" s="29"/>
      <c r="G690" s="28"/>
      <c r="H690" s="29"/>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8"/>
      <c r="E691" s="29"/>
      <c r="F691" s="29"/>
      <c r="G691" s="28"/>
      <c r="H691" s="29"/>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8"/>
      <c r="E692" s="29"/>
      <c r="F692" s="29"/>
      <c r="G692" s="28"/>
      <c r="H692" s="29"/>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8"/>
      <c r="E693" s="29"/>
      <c r="F693" s="29"/>
      <c r="G693" s="28"/>
      <c r="H693" s="29"/>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8"/>
      <c r="E694" s="29"/>
      <c r="F694" s="29"/>
      <c r="G694" s="28"/>
      <c r="H694" s="29"/>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8"/>
      <c r="E695" s="29"/>
      <c r="F695" s="29"/>
      <c r="G695" s="28"/>
      <c r="H695" s="29"/>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8"/>
      <c r="E696" s="29"/>
      <c r="F696" s="29"/>
      <c r="G696" s="28"/>
      <c r="H696" s="29"/>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8"/>
      <c r="E697" s="29"/>
      <c r="F697" s="29"/>
      <c r="G697" s="28"/>
      <c r="H697" s="29"/>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8"/>
      <c r="E698" s="29"/>
      <c r="F698" s="29"/>
      <c r="G698" s="28"/>
      <c r="H698" s="29"/>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8"/>
      <c r="E699" s="29"/>
      <c r="F699" s="29"/>
      <c r="G699" s="28"/>
      <c r="H699" s="29"/>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8"/>
      <c r="E700" s="29"/>
      <c r="F700" s="29"/>
      <c r="G700" s="28"/>
      <c r="H700" s="29"/>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8"/>
      <c r="E701" s="29"/>
      <c r="F701" s="29"/>
      <c r="G701" s="28"/>
      <c r="H701" s="29"/>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8"/>
      <c r="E702" s="29"/>
      <c r="F702" s="29"/>
      <c r="G702" s="28"/>
      <c r="H702" s="29"/>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8"/>
      <c r="E703" s="29"/>
      <c r="F703" s="29"/>
      <c r="G703" s="28"/>
      <c r="H703" s="29"/>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8"/>
      <c r="E704" s="29"/>
      <c r="F704" s="29"/>
      <c r="G704" s="28"/>
      <c r="H704" s="29"/>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8"/>
      <c r="E705" s="29"/>
      <c r="F705" s="29"/>
      <c r="G705" s="28"/>
      <c r="H705" s="29"/>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8"/>
      <c r="E706" s="29"/>
      <c r="F706" s="29"/>
      <c r="G706" s="28"/>
      <c r="H706" s="29"/>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8"/>
      <c r="E707" s="29"/>
      <c r="F707" s="29"/>
      <c r="G707" s="28"/>
      <c r="H707" s="29"/>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8"/>
      <c r="E708" s="29"/>
      <c r="F708" s="29"/>
      <c r="G708" s="28"/>
      <c r="H708" s="29"/>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8"/>
      <c r="E709" s="29"/>
      <c r="F709" s="29"/>
      <c r="G709" s="28"/>
      <c r="H709" s="29"/>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8"/>
      <c r="E710" s="29"/>
      <c r="F710" s="29"/>
      <c r="G710" s="28"/>
      <c r="H710" s="29"/>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8"/>
      <c r="E711" s="29"/>
      <c r="F711" s="29"/>
      <c r="G711" s="28"/>
      <c r="H711" s="29"/>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8"/>
      <c r="E712" s="29"/>
      <c r="F712" s="29"/>
      <c r="G712" s="28"/>
      <c r="H712" s="29"/>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8"/>
      <c r="E713" s="29"/>
      <c r="F713" s="29"/>
      <c r="G713" s="28"/>
      <c r="H713" s="29"/>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8"/>
      <c r="E714" s="29"/>
      <c r="F714" s="29"/>
      <c r="G714" s="28"/>
      <c r="H714" s="29"/>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8"/>
      <c r="E715" s="29"/>
      <c r="F715" s="29"/>
      <c r="G715" s="28"/>
      <c r="H715" s="29"/>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8"/>
      <c r="E716" s="29"/>
      <c r="F716" s="29"/>
      <c r="G716" s="28"/>
      <c r="H716" s="29"/>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8"/>
      <c r="E717" s="29"/>
      <c r="F717" s="29"/>
      <c r="G717" s="28"/>
      <c r="H717" s="29"/>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8"/>
      <c r="E718" s="29"/>
      <c r="F718" s="29"/>
      <c r="G718" s="28"/>
      <c r="H718" s="29"/>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8"/>
      <c r="E719" s="29"/>
      <c r="F719" s="29"/>
      <c r="G719" s="28"/>
      <c r="H719" s="29"/>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8"/>
      <c r="E720" s="29"/>
      <c r="F720" s="29"/>
      <c r="G720" s="28"/>
      <c r="H720" s="29"/>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8"/>
      <c r="E721" s="29"/>
      <c r="F721" s="29"/>
      <c r="G721" s="28"/>
      <c r="H721" s="29"/>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8"/>
      <c r="E722" s="29"/>
      <c r="F722" s="29"/>
      <c r="G722" s="28"/>
      <c r="H722" s="29"/>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8"/>
      <c r="E723" s="29"/>
      <c r="F723" s="29"/>
      <c r="G723" s="28"/>
      <c r="H723" s="29"/>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8"/>
      <c r="E724" s="29"/>
      <c r="F724" s="29"/>
      <c r="G724" s="28"/>
      <c r="H724" s="29"/>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8"/>
      <c r="E725" s="29"/>
      <c r="F725" s="29"/>
      <c r="G725" s="28"/>
      <c r="H725" s="29"/>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8"/>
      <c r="E726" s="29"/>
      <c r="F726" s="29"/>
      <c r="G726" s="28"/>
      <c r="H726" s="29"/>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8"/>
      <c r="E727" s="29"/>
      <c r="F727" s="29"/>
      <c r="G727" s="28"/>
      <c r="H727" s="29"/>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8"/>
      <c r="E728" s="29"/>
      <c r="F728" s="29"/>
      <c r="G728" s="28"/>
      <c r="H728" s="29"/>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8"/>
      <c r="E729" s="29"/>
      <c r="F729" s="29"/>
      <c r="G729" s="28"/>
      <c r="H729" s="29"/>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8"/>
      <c r="E730" s="29"/>
      <c r="F730" s="29"/>
      <c r="G730" s="28"/>
      <c r="H730" s="29"/>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8"/>
      <c r="E731" s="29"/>
      <c r="F731" s="29"/>
      <c r="G731" s="28"/>
      <c r="H731" s="29"/>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8"/>
      <c r="E732" s="29"/>
      <c r="F732" s="29"/>
      <c r="G732" s="28"/>
      <c r="H732" s="29"/>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8"/>
      <c r="E733" s="29"/>
      <c r="F733" s="29"/>
      <c r="G733" s="28"/>
      <c r="H733" s="29"/>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8"/>
      <c r="E734" s="29"/>
      <c r="F734" s="29"/>
      <c r="G734" s="28"/>
      <c r="H734" s="29"/>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8"/>
      <c r="E735" s="29"/>
      <c r="F735" s="29"/>
      <c r="G735" s="28"/>
      <c r="H735" s="29"/>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8"/>
      <c r="E736" s="29"/>
      <c r="F736" s="29"/>
      <c r="G736" s="28"/>
      <c r="H736" s="29"/>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8"/>
      <c r="E737" s="29"/>
      <c r="F737" s="29"/>
      <c r="G737" s="28"/>
      <c r="H737" s="29"/>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8"/>
      <c r="E738" s="29"/>
      <c r="F738" s="29"/>
      <c r="G738" s="28"/>
      <c r="H738" s="29"/>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8"/>
      <c r="E739" s="29"/>
      <c r="F739" s="29"/>
      <c r="G739" s="28"/>
      <c r="H739" s="29"/>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8"/>
      <c r="E740" s="29"/>
      <c r="F740" s="29"/>
      <c r="G740" s="28"/>
      <c r="H740" s="29"/>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8"/>
      <c r="E741" s="29"/>
      <c r="F741" s="29"/>
      <c r="G741" s="28"/>
      <c r="H741" s="29"/>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8"/>
      <c r="E742" s="29"/>
      <c r="F742" s="29"/>
      <c r="G742" s="28"/>
      <c r="H742" s="29"/>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8"/>
      <c r="E743" s="29"/>
      <c r="F743" s="29"/>
      <c r="G743" s="28"/>
      <c r="H743" s="29"/>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8"/>
      <c r="E744" s="29"/>
      <c r="F744" s="29"/>
      <c r="G744" s="28"/>
      <c r="H744" s="29"/>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8"/>
      <c r="E745" s="29"/>
      <c r="F745" s="29"/>
      <c r="G745" s="28"/>
      <c r="H745" s="29"/>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8"/>
      <c r="E746" s="29"/>
      <c r="F746" s="29"/>
      <c r="G746" s="28"/>
      <c r="H746" s="29"/>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8"/>
      <c r="E747" s="29"/>
      <c r="F747" s="29"/>
      <c r="G747" s="28"/>
      <c r="H747" s="29"/>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8"/>
      <c r="E748" s="29"/>
      <c r="F748" s="29"/>
      <c r="G748" s="28"/>
      <c r="H748" s="29"/>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8"/>
      <c r="E749" s="29"/>
      <c r="F749" s="29"/>
      <c r="G749" s="28"/>
      <c r="H749" s="29"/>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8"/>
      <c r="E750" s="29"/>
      <c r="F750" s="29"/>
      <c r="G750" s="28"/>
      <c r="H750" s="29"/>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8"/>
      <c r="E751" s="29"/>
      <c r="F751" s="29"/>
      <c r="G751" s="28"/>
      <c r="H751" s="29"/>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8"/>
      <c r="E752" s="29"/>
      <c r="F752" s="29"/>
      <c r="G752" s="28"/>
      <c r="H752" s="29"/>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8"/>
      <c r="E753" s="29"/>
      <c r="F753" s="29"/>
      <c r="G753" s="28"/>
      <c r="H753" s="29"/>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8"/>
      <c r="E754" s="29"/>
      <c r="F754" s="29"/>
      <c r="G754" s="28"/>
      <c r="H754" s="29"/>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8"/>
      <c r="E755" s="29"/>
      <c r="F755" s="29"/>
      <c r="G755" s="28"/>
      <c r="H755" s="29"/>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8"/>
      <c r="E756" s="29"/>
      <c r="F756" s="29"/>
      <c r="G756" s="28"/>
      <c r="H756" s="29"/>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8"/>
      <c r="E757" s="29"/>
      <c r="F757" s="29"/>
      <c r="G757" s="28"/>
      <c r="H757" s="29"/>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8"/>
      <c r="E758" s="29"/>
      <c r="F758" s="29"/>
      <c r="G758" s="28"/>
      <c r="H758" s="29"/>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8"/>
      <c r="E759" s="29"/>
      <c r="F759" s="29"/>
      <c r="G759" s="28"/>
      <c r="H759" s="29"/>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8"/>
      <c r="E760" s="29"/>
      <c r="F760" s="29"/>
      <c r="G760" s="28"/>
      <c r="H760" s="29"/>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8"/>
      <c r="E761" s="29"/>
      <c r="F761" s="29"/>
      <c r="G761" s="28"/>
      <c r="H761" s="29"/>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8"/>
      <c r="E762" s="29"/>
      <c r="F762" s="29"/>
      <c r="G762" s="28"/>
      <c r="H762" s="29"/>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8"/>
      <c r="E763" s="29"/>
      <c r="F763" s="29"/>
      <c r="G763" s="28"/>
      <c r="H763" s="29"/>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8"/>
      <c r="E764" s="29"/>
      <c r="F764" s="29"/>
      <c r="G764" s="28"/>
      <c r="H764" s="29"/>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8"/>
      <c r="E765" s="29"/>
      <c r="F765" s="29"/>
      <c r="G765" s="28"/>
      <c r="H765" s="29"/>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8"/>
      <c r="E766" s="29"/>
      <c r="F766" s="29"/>
      <c r="G766" s="28"/>
      <c r="H766" s="29"/>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8"/>
      <c r="E767" s="29"/>
      <c r="F767" s="29"/>
      <c r="G767" s="28"/>
      <c r="H767" s="29"/>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8"/>
      <c r="E768" s="29"/>
      <c r="F768" s="29"/>
      <c r="G768" s="28"/>
      <c r="H768" s="29"/>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8"/>
      <c r="E769" s="29"/>
      <c r="F769" s="29"/>
      <c r="G769" s="28"/>
      <c r="H769" s="29"/>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8"/>
      <c r="E770" s="29"/>
      <c r="F770" s="29"/>
      <c r="G770" s="28"/>
      <c r="H770" s="29"/>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8"/>
      <c r="E771" s="29"/>
      <c r="F771" s="29"/>
      <c r="G771" s="28"/>
      <c r="H771" s="29"/>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8"/>
      <c r="E772" s="29"/>
      <c r="F772" s="29"/>
      <c r="G772" s="28"/>
      <c r="H772" s="29"/>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8"/>
      <c r="E773" s="29"/>
      <c r="F773" s="29"/>
      <c r="G773" s="28"/>
      <c r="H773" s="29"/>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8"/>
      <c r="E774" s="29"/>
      <c r="F774" s="29"/>
      <c r="G774" s="28"/>
      <c r="H774" s="29"/>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8"/>
      <c r="E775" s="29"/>
      <c r="F775" s="29"/>
      <c r="G775" s="28"/>
      <c r="H775" s="29"/>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8"/>
      <c r="E776" s="29"/>
      <c r="F776" s="29"/>
      <c r="G776" s="28"/>
      <c r="H776" s="29"/>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8"/>
      <c r="E777" s="29"/>
      <c r="F777" s="29"/>
      <c r="G777" s="28"/>
      <c r="H777" s="29"/>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8"/>
      <c r="E778" s="29"/>
      <c r="F778" s="29"/>
      <c r="G778" s="28"/>
      <c r="H778" s="29"/>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8"/>
      <c r="E779" s="29"/>
      <c r="F779" s="29"/>
      <c r="G779" s="28"/>
      <c r="H779" s="29"/>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8"/>
      <c r="E780" s="29"/>
      <c r="F780" s="29"/>
      <c r="G780" s="28"/>
      <c r="H780" s="29"/>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8"/>
      <c r="E781" s="29"/>
      <c r="F781" s="29"/>
      <c r="G781" s="28"/>
      <c r="H781" s="29"/>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8"/>
      <c r="E782" s="29"/>
      <c r="F782" s="29"/>
      <c r="G782" s="28"/>
      <c r="H782" s="29"/>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8"/>
      <c r="E783" s="29"/>
      <c r="F783" s="29"/>
      <c r="G783" s="28"/>
      <c r="H783" s="29"/>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8"/>
      <c r="E784" s="29"/>
      <c r="F784" s="29"/>
      <c r="G784" s="28"/>
      <c r="H784" s="29"/>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8"/>
      <c r="E785" s="29"/>
      <c r="F785" s="29"/>
      <c r="G785" s="28"/>
      <c r="H785" s="29"/>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8"/>
      <c r="E786" s="29"/>
      <c r="F786" s="29"/>
      <c r="G786" s="28"/>
      <c r="H786" s="29"/>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8"/>
      <c r="E787" s="29"/>
      <c r="F787" s="29"/>
      <c r="G787" s="28"/>
      <c r="H787" s="29"/>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8"/>
      <c r="E788" s="29"/>
      <c r="F788" s="29"/>
      <c r="G788" s="28"/>
      <c r="H788" s="29"/>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8"/>
      <c r="E789" s="29"/>
      <c r="F789" s="29"/>
      <c r="G789" s="28"/>
      <c r="H789" s="29"/>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8"/>
      <c r="E790" s="29"/>
      <c r="F790" s="29"/>
      <c r="G790" s="28"/>
      <c r="H790" s="29"/>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8"/>
      <c r="E791" s="29"/>
      <c r="F791" s="29"/>
      <c r="G791" s="28"/>
      <c r="H791" s="29"/>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8"/>
      <c r="E792" s="29"/>
      <c r="F792" s="29"/>
      <c r="G792" s="28"/>
      <c r="H792" s="29"/>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8"/>
      <c r="E793" s="29"/>
      <c r="F793" s="29"/>
      <c r="G793" s="28"/>
      <c r="H793" s="29"/>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8"/>
      <c r="E794" s="29"/>
      <c r="F794" s="29"/>
      <c r="G794" s="28"/>
      <c r="H794" s="29"/>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8"/>
      <c r="E795" s="29"/>
      <c r="F795" s="29"/>
      <c r="G795" s="28"/>
      <c r="H795" s="29"/>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8"/>
      <c r="E796" s="29"/>
      <c r="F796" s="29"/>
      <c r="G796" s="28"/>
      <c r="H796" s="29"/>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8"/>
      <c r="E797" s="29"/>
      <c r="F797" s="29"/>
      <c r="G797" s="28"/>
      <c r="H797" s="29"/>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8"/>
      <c r="E798" s="29"/>
      <c r="F798" s="29"/>
      <c r="G798" s="28"/>
      <c r="H798" s="29"/>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8"/>
      <c r="E799" s="29"/>
      <c r="F799" s="29"/>
      <c r="G799" s="28"/>
      <c r="H799" s="29"/>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8"/>
      <c r="E800" s="29"/>
      <c r="F800" s="29"/>
      <c r="G800" s="28"/>
      <c r="H800" s="29"/>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8"/>
      <c r="E801" s="29"/>
      <c r="F801" s="29"/>
      <c r="G801" s="28"/>
      <c r="H801" s="29"/>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8"/>
      <c r="E802" s="29"/>
      <c r="F802" s="29"/>
      <c r="G802" s="28"/>
      <c r="H802" s="29"/>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8"/>
      <c r="E803" s="29"/>
      <c r="F803" s="29"/>
      <c r="G803" s="28"/>
      <c r="H803" s="29"/>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8"/>
      <c r="E804" s="29"/>
      <c r="F804" s="29"/>
      <c r="G804" s="28"/>
      <c r="H804" s="29"/>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8"/>
      <c r="E805" s="29"/>
      <c r="F805" s="29"/>
      <c r="G805" s="28"/>
      <c r="H805" s="29"/>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8"/>
      <c r="E806" s="29"/>
      <c r="F806" s="29"/>
      <c r="G806" s="28"/>
      <c r="H806" s="29"/>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8"/>
      <c r="E807" s="29"/>
      <c r="F807" s="29"/>
      <c r="G807" s="28"/>
      <c r="H807" s="29"/>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8"/>
      <c r="E808" s="29"/>
      <c r="F808" s="29"/>
      <c r="G808" s="28"/>
      <c r="H808" s="29"/>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8"/>
      <c r="E809" s="29"/>
      <c r="F809" s="29"/>
      <c r="G809" s="28"/>
      <c r="H809" s="29"/>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8"/>
      <c r="E810" s="29"/>
      <c r="F810" s="29"/>
      <c r="G810" s="28"/>
      <c r="H810" s="29"/>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8"/>
      <c r="E811" s="29"/>
      <c r="F811" s="29"/>
      <c r="G811" s="28"/>
      <c r="H811" s="29"/>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8"/>
      <c r="E812" s="29"/>
      <c r="F812" s="29"/>
      <c r="G812" s="28"/>
      <c r="H812" s="29"/>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8"/>
      <c r="E813" s="29"/>
      <c r="F813" s="29"/>
      <c r="G813" s="28"/>
      <c r="H813" s="29"/>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8"/>
      <c r="E814" s="29"/>
      <c r="F814" s="29"/>
      <c r="G814" s="28"/>
      <c r="H814" s="29"/>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8"/>
      <c r="E815" s="29"/>
      <c r="F815" s="29"/>
      <c r="G815" s="28"/>
      <c r="H815" s="29"/>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8"/>
      <c r="E816" s="29"/>
      <c r="F816" s="29"/>
      <c r="G816" s="28"/>
      <c r="H816" s="29"/>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8"/>
      <c r="E817" s="29"/>
      <c r="F817" s="29"/>
      <c r="G817" s="28"/>
      <c r="H817" s="29"/>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8"/>
      <c r="E818" s="29"/>
      <c r="F818" s="29"/>
      <c r="G818" s="28"/>
      <c r="H818" s="29"/>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8"/>
      <c r="E819" s="29"/>
      <c r="F819" s="29"/>
      <c r="G819" s="28"/>
      <c r="H819" s="29"/>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8"/>
      <c r="E820" s="29"/>
      <c r="F820" s="29"/>
      <c r="G820" s="28"/>
      <c r="H820" s="29"/>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8"/>
      <c r="E821" s="29"/>
      <c r="F821" s="29"/>
      <c r="G821" s="28"/>
      <c r="H821" s="29"/>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8"/>
      <c r="E822" s="29"/>
      <c r="F822" s="29"/>
      <c r="G822" s="28"/>
      <c r="H822" s="29"/>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8"/>
      <c r="E823" s="29"/>
      <c r="F823" s="29"/>
      <c r="G823" s="28"/>
      <c r="H823" s="29"/>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8"/>
      <c r="E824" s="29"/>
      <c r="F824" s="29"/>
      <c r="G824" s="28"/>
      <c r="H824" s="29"/>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8"/>
      <c r="E825" s="29"/>
      <c r="F825" s="29"/>
      <c r="G825" s="28"/>
      <c r="H825" s="29"/>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8"/>
      <c r="E826" s="29"/>
      <c r="F826" s="29"/>
      <c r="G826" s="28"/>
      <c r="H826" s="29"/>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8"/>
      <c r="E827" s="29"/>
      <c r="F827" s="29"/>
      <c r="G827" s="28"/>
      <c r="H827" s="29"/>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8"/>
      <c r="E828" s="29"/>
      <c r="F828" s="29"/>
      <c r="G828" s="28"/>
      <c r="H828" s="29"/>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8"/>
      <c r="E829" s="29"/>
      <c r="F829" s="29"/>
      <c r="G829" s="28"/>
      <c r="H829" s="29"/>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8"/>
      <c r="E830" s="29"/>
      <c r="F830" s="29"/>
      <c r="G830" s="28"/>
      <c r="H830" s="29"/>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8"/>
      <c r="E831" s="29"/>
      <c r="F831" s="29"/>
      <c r="G831" s="28"/>
      <c r="H831" s="29"/>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8"/>
      <c r="E832" s="29"/>
      <c r="F832" s="29"/>
      <c r="G832" s="28"/>
      <c r="H832" s="29"/>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8"/>
      <c r="E833" s="29"/>
      <c r="F833" s="29"/>
      <c r="G833" s="28"/>
      <c r="H833" s="29"/>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8"/>
      <c r="E834" s="29"/>
      <c r="F834" s="29"/>
      <c r="G834" s="28"/>
      <c r="H834" s="29"/>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8"/>
      <c r="E835" s="29"/>
      <c r="F835" s="29"/>
      <c r="G835" s="28"/>
      <c r="H835" s="29"/>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8"/>
      <c r="E836" s="29"/>
      <c r="F836" s="29"/>
      <c r="G836" s="28"/>
      <c r="H836" s="29"/>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8"/>
      <c r="E837" s="29"/>
      <c r="F837" s="29"/>
      <c r="G837" s="28"/>
      <c r="H837" s="29"/>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8"/>
      <c r="E838" s="29"/>
      <c r="F838" s="29"/>
      <c r="G838" s="28"/>
      <c r="H838" s="29"/>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8"/>
      <c r="E839" s="29"/>
      <c r="F839" s="29"/>
      <c r="G839" s="28"/>
      <c r="H839" s="29"/>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8"/>
      <c r="E840" s="29"/>
      <c r="F840" s="29"/>
      <c r="G840" s="28"/>
      <c r="H840" s="29"/>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8"/>
      <c r="E841" s="29"/>
      <c r="F841" s="29"/>
      <c r="G841" s="28"/>
      <c r="H841" s="29"/>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8"/>
      <c r="E842" s="29"/>
      <c r="F842" s="29"/>
      <c r="G842" s="28"/>
      <c r="H842" s="29"/>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8"/>
      <c r="E843" s="29"/>
      <c r="F843" s="29"/>
      <c r="G843" s="28"/>
      <c r="H843" s="29"/>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8"/>
      <c r="E844" s="29"/>
      <c r="F844" s="29"/>
      <c r="G844" s="28"/>
      <c r="H844" s="29"/>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8"/>
      <c r="E845" s="29"/>
      <c r="F845" s="29"/>
      <c r="G845" s="28"/>
      <c r="H845" s="29"/>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8"/>
      <c r="E846" s="29"/>
      <c r="F846" s="29"/>
      <c r="G846" s="28"/>
      <c r="H846" s="29"/>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8"/>
      <c r="E847" s="29"/>
      <c r="F847" s="29"/>
      <c r="G847" s="28"/>
      <c r="H847" s="29"/>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8"/>
      <c r="E848" s="29"/>
      <c r="F848" s="29"/>
      <c r="G848" s="28"/>
      <c r="H848" s="29"/>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8"/>
      <c r="E849" s="29"/>
      <c r="F849" s="29"/>
      <c r="G849" s="28"/>
      <c r="H849" s="29"/>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8"/>
      <c r="E850" s="29"/>
      <c r="F850" s="29"/>
      <c r="G850" s="28"/>
      <c r="H850" s="29"/>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8"/>
      <c r="E851" s="29"/>
      <c r="F851" s="29"/>
      <c r="G851" s="28"/>
      <c r="H851" s="29"/>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8"/>
      <c r="E852" s="29"/>
      <c r="F852" s="29"/>
      <c r="G852" s="28"/>
      <c r="H852" s="29"/>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8"/>
      <c r="E853" s="29"/>
      <c r="F853" s="29"/>
      <c r="G853" s="28"/>
      <c r="H853" s="29"/>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8"/>
      <c r="E854" s="29"/>
      <c r="F854" s="29"/>
      <c r="G854" s="28"/>
      <c r="H854" s="29"/>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8"/>
      <c r="E855" s="29"/>
      <c r="F855" s="29"/>
      <c r="G855" s="28"/>
      <c r="H855" s="29"/>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8"/>
      <c r="E856" s="29"/>
      <c r="F856" s="29"/>
      <c r="G856" s="28"/>
      <c r="H856" s="29"/>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8"/>
      <c r="E857" s="29"/>
      <c r="F857" s="29"/>
      <c r="G857" s="28"/>
      <c r="H857" s="29"/>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8"/>
      <c r="E858" s="29"/>
      <c r="F858" s="29"/>
      <c r="G858" s="28"/>
      <c r="H858" s="29"/>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8"/>
      <c r="E859" s="29"/>
      <c r="F859" s="29"/>
      <c r="G859" s="28"/>
      <c r="H859" s="29"/>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8"/>
      <c r="E860" s="29"/>
      <c r="F860" s="29"/>
      <c r="G860" s="28"/>
      <c r="H860" s="29"/>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8"/>
      <c r="E861" s="29"/>
      <c r="F861" s="29"/>
      <c r="G861" s="28"/>
      <c r="H861" s="29"/>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8"/>
      <c r="E862" s="29"/>
      <c r="F862" s="29"/>
      <c r="G862" s="28"/>
      <c r="H862" s="29"/>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8"/>
      <c r="E863" s="29"/>
      <c r="F863" s="29"/>
      <c r="G863" s="28"/>
      <c r="H863" s="29"/>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8"/>
      <c r="E864" s="29"/>
      <c r="F864" s="29"/>
      <c r="G864" s="28"/>
      <c r="H864" s="29"/>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8"/>
      <c r="E865" s="29"/>
      <c r="F865" s="29"/>
      <c r="G865" s="28"/>
      <c r="H865" s="29"/>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8"/>
      <c r="E866" s="29"/>
      <c r="F866" s="29"/>
      <c r="G866" s="28"/>
      <c r="H866" s="29"/>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8"/>
      <c r="E867" s="29"/>
      <c r="F867" s="29"/>
      <c r="G867" s="28"/>
      <c r="H867" s="29"/>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8"/>
      <c r="E868" s="29"/>
      <c r="F868" s="29"/>
      <c r="G868" s="28"/>
      <c r="H868" s="29"/>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8"/>
      <c r="E869" s="29"/>
      <c r="F869" s="29"/>
      <c r="G869" s="28"/>
      <c r="H869" s="29"/>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8"/>
      <c r="E870" s="29"/>
      <c r="F870" s="29"/>
      <c r="G870" s="28"/>
      <c r="H870" s="29"/>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8"/>
      <c r="E871" s="29"/>
      <c r="F871" s="29"/>
      <c r="G871" s="28"/>
      <c r="H871" s="29"/>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8"/>
      <c r="E872" s="29"/>
      <c r="F872" s="29"/>
      <c r="G872" s="28"/>
      <c r="H872" s="29"/>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8"/>
      <c r="E873" s="29"/>
      <c r="F873" s="29"/>
      <c r="G873" s="28"/>
      <c r="H873" s="29"/>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8"/>
      <c r="E874" s="29"/>
      <c r="F874" s="29"/>
      <c r="G874" s="28"/>
      <c r="H874" s="29"/>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8"/>
      <c r="E875" s="29"/>
      <c r="F875" s="29"/>
      <c r="G875" s="28"/>
      <c r="H875" s="29"/>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8"/>
      <c r="E876" s="29"/>
      <c r="F876" s="29"/>
      <c r="G876" s="28"/>
      <c r="H876" s="29"/>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8"/>
      <c r="E877" s="29"/>
      <c r="F877" s="29"/>
      <c r="G877" s="28"/>
      <c r="H877" s="29"/>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8"/>
      <c r="E878" s="29"/>
      <c r="F878" s="29"/>
      <c r="G878" s="28"/>
      <c r="H878" s="29"/>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8"/>
      <c r="E879" s="29"/>
      <c r="F879" s="29"/>
      <c r="G879" s="28"/>
      <c r="H879" s="29"/>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8"/>
      <c r="E880" s="29"/>
      <c r="F880" s="29"/>
      <c r="G880" s="28"/>
      <c r="H880" s="29"/>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8"/>
      <c r="E881" s="29"/>
      <c r="F881" s="29"/>
      <c r="G881" s="28"/>
      <c r="H881" s="29"/>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8"/>
      <c r="E882" s="29"/>
      <c r="F882" s="29"/>
      <c r="G882" s="28"/>
      <c r="H882" s="29"/>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8"/>
      <c r="E883" s="29"/>
      <c r="F883" s="29"/>
      <c r="G883" s="28"/>
      <c r="H883" s="29"/>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8"/>
      <c r="E884" s="29"/>
      <c r="F884" s="29"/>
      <c r="G884" s="28"/>
      <c r="H884" s="29"/>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8"/>
      <c r="E885" s="29"/>
      <c r="F885" s="29"/>
      <c r="G885" s="28"/>
      <c r="H885" s="29"/>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8"/>
      <c r="E886" s="29"/>
      <c r="F886" s="29"/>
      <c r="G886" s="28"/>
      <c r="H886" s="29"/>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8"/>
      <c r="E887" s="29"/>
      <c r="F887" s="29"/>
      <c r="G887" s="28"/>
      <c r="H887" s="29"/>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8"/>
      <c r="E888" s="29"/>
      <c r="F888" s="29"/>
      <c r="G888" s="28"/>
      <c r="H888" s="29"/>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8"/>
      <c r="E889" s="29"/>
      <c r="F889" s="29"/>
      <c r="G889" s="28"/>
      <c r="H889" s="29"/>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8"/>
      <c r="E890" s="29"/>
      <c r="F890" s="29"/>
      <c r="G890" s="28"/>
      <c r="H890" s="29"/>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8"/>
      <c r="E891" s="29"/>
      <c r="F891" s="29"/>
      <c r="G891" s="28"/>
      <c r="H891" s="29"/>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8"/>
      <c r="E892" s="29"/>
      <c r="F892" s="29"/>
      <c r="G892" s="28"/>
      <c r="H892" s="29"/>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8"/>
      <c r="E893" s="29"/>
      <c r="F893" s="29"/>
      <c r="G893" s="28"/>
      <c r="H893" s="29"/>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8"/>
      <c r="E894" s="29"/>
      <c r="F894" s="29"/>
      <c r="G894" s="28"/>
      <c r="H894" s="29"/>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8"/>
      <c r="E895" s="29"/>
      <c r="F895" s="29"/>
      <c r="G895" s="28"/>
      <c r="H895" s="29"/>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8"/>
      <c r="E896" s="29"/>
      <c r="F896" s="29"/>
      <c r="G896" s="28"/>
      <c r="H896" s="29"/>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8"/>
      <c r="E897" s="29"/>
      <c r="F897" s="29"/>
      <c r="G897" s="28"/>
      <c r="H897" s="29"/>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8"/>
      <c r="E898" s="29"/>
      <c r="F898" s="29"/>
      <c r="G898" s="28"/>
      <c r="H898" s="29"/>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8"/>
      <c r="E899" s="29"/>
      <c r="F899" s="29"/>
      <c r="G899" s="28"/>
      <c r="H899" s="29"/>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8"/>
      <c r="E900" s="29"/>
      <c r="F900" s="29"/>
      <c r="G900" s="28"/>
      <c r="H900" s="29"/>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8"/>
      <c r="E901" s="29"/>
      <c r="F901" s="29"/>
      <c r="G901" s="28"/>
      <c r="H901" s="29"/>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8"/>
      <c r="E902" s="29"/>
      <c r="F902" s="29"/>
      <c r="G902" s="28"/>
      <c r="H902" s="29"/>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8"/>
      <c r="E903" s="29"/>
      <c r="F903" s="29"/>
      <c r="G903" s="28"/>
      <c r="H903" s="29"/>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8"/>
      <c r="E904" s="29"/>
      <c r="F904" s="29"/>
      <c r="G904" s="28"/>
      <c r="H904" s="29"/>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8"/>
      <c r="E905" s="29"/>
      <c r="F905" s="29"/>
      <c r="G905" s="28"/>
      <c r="H905" s="29"/>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8"/>
      <c r="E906" s="29"/>
      <c r="F906" s="29"/>
      <c r="G906" s="28"/>
      <c r="H906" s="29"/>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8"/>
      <c r="E907" s="29"/>
      <c r="F907" s="29"/>
      <c r="G907" s="28"/>
      <c r="H907" s="29"/>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8"/>
      <c r="E908" s="29"/>
      <c r="F908" s="29"/>
      <c r="G908" s="28"/>
      <c r="H908" s="29"/>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8"/>
      <c r="E909" s="29"/>
      <c r="F909" s="29"/>
      <c r="G909" s="28"/>
      <c r="H909" s="29"/>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8"/>
      <c r="E910" s="29"/>
      <c r="F910" s="29"/>
      <c r="G910" s="28"/>
      <c r="H910" s="29"/>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8"/>
      <c r="E911" s="29"/>
      <c r="F911" s="29"/>
      <c r="G911" s="28"/>
      <c r="H911" s="29"/>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8"/>
      <c r="E912" s="29"/>
      <c r="F912" s="29"/>
      <c r="G912" s="28"/>
      <c r="H912" s="29"/>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8"/>
      <c r="E913" s="29"/>
      <c r="F913" s="29"/>
      <c r="G913" s="28"/>
      <c r="H913" s="29"/>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8"/>
      <c r="E914" s="29"/>
      <c r="F914" s="29"/>
      <c r="G914" s="28"/>
      <c r="H914" s="29"/>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8"/>
      <c r="E915" s="29"/>
      <c r="F915" s="29"/>
      <c r="G915" s="28"/>
      <c r="H915" s="29"/>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8"/>
      <c r="E916" s="29"/>
      <c r="F916" s="29"/>
      <c r="G916" s="28"/>
      <c r="H916" s="29"/>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8"/>
      <c r="E917" s="29"/>
      <c r="F917" s="29"/>
      <c r="G917" s="28"/>
      <c r="H917" s="29"/>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8"/>
      <c r="E918" s="29"/>
      <c r="F918" s="29"/>
      <c r="G918" s="28"/>
      <c r="H918" s="29"/>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8"/>
      <c r="E919" s="29"/>
      <c r="F919" s="29"/>
      <c r="G919" s="28"/>
      <c r="H919" s="29"/>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8"/>
      <c r="E920" s="29"/>
      <c r="F920" s="29"/>
      <c r="G920" s="28"/>
      <c r="H920" s="29"/>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8"/>
      <c r="E921" s="29"/>
      <c r="F921" s="29"/>
      <c r="G921" s="28"/>
      <c r="H921" s="29"/>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8"/>
      <c r="E922" s="29"/>
      <c r="F922" s="29"/>
      <c r="G922" s="28"/>
      <c r="H922" s="29"/>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8"/>
      <c r="E923" s="29"/>
      <c r="F923" s="29"/>
      <c r="G923" s="28"/>
      <c r="H923" s="29"/>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8"/>
      <c r="E924" s="29"/>
      <c r="F924" s="29"/>
      <c r="G924" s="28"/>
      <c r="H924" s="29"/>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8"/>
      <c r="E925" s="29"/>
      <c r="F925" s="29"/>
      <c r="G925" s="28"/>
      <c r="H925" s="29"/>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8"/>
      <c r="E926" s="29"/>
      <c r="F926" s="29"/>
      <c r="G926" s="28"/>
      <c r="H926" s="29"/>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8"/>
      <c r="E927" s="29"/>
      <c r="F927" s="29"/>
      <c r="G927" s="28"/>
      <c r="H927" s="29"/>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8"/>
      <c r="E928" s="29"/>
      <c r="F928" s="29"/>
      <c r="G928" s="28"/>
      <c r="H928" s="29"/>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8"/>
      <c r="E929" s="29"/>
      <c r="F929" s="29"/>
      <c r="G929" s="28"/>
      <c r="H929" s="29"/>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8"/>
      <c r="E930" s="29"/>
      <c r="F930" s="29"/>
      <c r="G930" s="28"/>
      <c r="H930" s="29"/>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8"/>
      <c r="E931" s="29"/>
      <c r="F931" s="29"/>
      <c r="G931" s="28"/>
      <c r="H931" s="29"/>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8"/>
      <c r="E932" s="29"/>
      <c r="F932" s="29"/>
      <c r="G932" s="28"/>
      <c r="H932" s="29"/>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8"/>
      <c r="E933" s="29"/>
      <c r="F933" s="29"/>
      <c r="G933" s="28"/>
      <c r="H933" s="29"/>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8"/>
      <c r="E934" s="29"/>
      <c r="F934" s="29"/>
      <c r="G934" s="28"/>
      <c r="H934" s="29"/>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8"/>
      <c r="E935" s="29"/>
      <c r="F935" s="29"/>
      <c r="G935" s="28"/>
      <c r="H935" s="29"/>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8"/>
      <c r="E936" s="29"/>
      <c r="F936" s="29"/>
      <c r="G936" s="28"/>
      <c r="H936" s="29"/>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8"/>
      <c r="E937" s="29"/>
      <c r="F937" s="29"/>
      <c r="G937" s="28"/>
      <c r="H937" s="29"/>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8"/>
      <c r="E938" s="29"/>
      <c r="F938" s="29"/>
      <c r="G938" s="28"/>
      <c r="H938" s="29"/>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8"/>
      <c r="E939" s="29"/>
      <c r="F939" s="29"/>
      <c r="G939" s="28"/>
      <c r="H939" s="29"/>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8"/>
      <c r="E940" s="29"/>
      <c r="F940" s="29"/>
      <c r="G940" s="28"/>
      <c r="H940" s="29"/>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8"/>
      <c r="E941" s="29"/>
      <c r="F941" s="29"/>
      <c r="G941" s="28"/>
      <c r="H941" s="29"/>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8"/>
      <c r="E942" s="29"/>
      <c r="F942" s="29"/>
      <c r="G942" s="28"/>
      <c r="H942" s="29"/>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8"/>
      <c r="E943" s="29"/>
      <c r="F943" s="29"/>
      <c r="G943" s="28"/>
      <c r="H943" s="29"/>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8"/>
      <c r="E944" s="29"/>
      <c r="F944" s="29"/>
      <c r="G944" s="28"/>
      <c r="H944" s="29"/>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8"/>
      <c r="E945" s="29"/>
      <c r="F945" s="29"/>
      <c r="G945" s="28"/>
      <c r="H945" s="29"/>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8"/>
      <c r="E946" s="29"/>
      <c r="F946" s="29"/>
      <c r="G946" s="28"/>
      <c r="H946" s="29"/>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8"/>
      <c r="E947" s="29"/>
      <c r="F947" s="29"/>
      <c r="G947" s="28"/>
      <c r="H947" s="29"/>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8"/>
      <c r="E948" s="29"/>
      <c r="F948" s="29"/>
      <c r="G948" s="28"/>
      <c r="H948" s="29"/>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8"/>
      <c r="E949" s="29"/>
      <c r="F949" s="29"/>
      <c r="G949" s="28"/>
      <c r="H949" s="29"/>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8"/>
      <c r="E950" s="29"/>
      <c r="F950" s="29"/>
      <c r="G950" s="28"/>
      <c r="H950" s="29"/>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8"/>
      <c r="E951" s="29"/>
      <c r="F951" s="29"/>
      <c r="G951" s="28"/>
      <c r="H951" s="29"/>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8"/>
      <c r="E952" s="29"/>
      <c r="F952" s="29"/>
      <c r="G952" s="28"/>
      <c r="H952" s="29"/>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8"/>
      <c r="E953" s="29"/>
      <c r="F953" s="29"/>
      <c r="G953" s="28"/>
      <c r="H953" s="29"/>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8"/>
      <c r="E954" s="29"/>
      <c r="F954" s="29"/>
      <c r="G954" s="28"/>
      <c r="H954" s="29"/>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8"/>
      <c r="E955" s="29"/>
      <c r="F955" s="29"/>
      <c r="G955" s="28"/>
      <c r="H955" s="29"/>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8"/>
      <c r="E956" s="29"/>
      <c r="F956" s="29"/>
      <c r="G956" s="28"/>
      <c r="H956" s="29"/>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8"/>
      <c r="E957" s="29"/>
      <c r="F957" s="29"/>
      <c r="G957" s="28"/>
      <c r="H957" s="29"/>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8"/>
      <c r="E958" s="29"/>
      <c r="F958" s="29"/>
      <c r="G958" s="28"/>
      <c r="H958" s="29"/>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8"/>
      <c r="E959" s="29"/>
      <c r="F959" s="29"/>
      <c r="G959" s="28"/>
      <c r="H959" s="29"/>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8"/>
      <c r="E960" s="29"/>
      <c r="F960" s="29"/>
      <c r="G960" s="28"/>
      <c r="H960" s="29"/>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8"/>
      <c r="E961" s="29"/>
      <c r="F961" s="29"/>
      <c r="G961" s="28"/>
      <c r="H961" s="29"/>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8"/>
      <c r="E962" s="29"/>
      <c r="F962" s="29"/>
      <c r="G962" s="28"/>
      <c r="H962" s="29"/>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8"/>
      <c r="E963" s="29"/>
      <c r="F963" s="29"/>
      <c r="G963" s="28"/>
      <c r="H963" s="29"/>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8"/>
      <c r="E964" s="29"/>
      <c r="F964" s="29"/>
      <c r="G964" s="28"/>
      <c r="H964" s="29"/>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8"/>
      <c r="E965" s="29"/>
      <c r="F965" s="29"/>
      <c r="G965" s="28"/>
      <c r="H965" s="29"/>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8"/>
      <c r="E966" s="29"/>
      <c r="F966" s="29"/>
      <c r="G966" s="28"/>
      <c r="H966" s="29"/>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8"/>
      <c r="E967" s="29"/>
      <c r="F967" s="29"/>
      <c r="G967" s="28"/>
      <c r="H967" s="29"/>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8"/>
      <c r="E968" s="29"/>
      <c r="F968" s="29"/>
      <c r="G968" s="28"/>
      <c r="H968" s="29"/>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8"/>
      <c r="E969" s="29"/>
      <c r="F969" s="29"/>
      <c r="G969" s="28"/>
      <c r="H969" s="29"/>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8"/>
      <c r="E970" s="29"/>
      <c r="F970" s="29"/>
      <c r="G970" s="28"/>
      <c r="H970" s="29"/>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8"/>
      <c r="E971" s="29"/>
      <c r="F971" s="29"/>
      <c r="G971" s="28"/>
      <c r="H971" s="29"/>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8"/>
      <c r="E972" s="29"/>
      <c r="F972" s="29"/>
      <c r="G972" s="28"/>
      <c r="H972" s="29"/>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8"/>
      <c r="E973" s="29"/>
      <c r="F973" s="29"/>
      <c r="G973" s="28"/>
      <c r="H973" s="29"/>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8"/>
      <c r="E974" s="29"/>
      <c r="F974" s="29"/>
      <c r="G974" s="28"/>
      <c r="H974" s="29"/>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8"/>
      <c r="E975" s="29"/>
      <c r="F975" s="29"/>
      <c r="G975" s="28"/>
      <c r="H975" s="29"/>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8"/>
      <c r="E976" s="29"/>
      <c r="F976" s="29"/>
      <c r="G976" s="28"/>
      <c r="H976" s="29"/>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8"/>
      <c r="E977" s="29"/>
      <c r="F977" s="29"/>
      <c r="G977" s="28"/>
      <c r="H977" s="29"/>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8"/>
      <c r="E978" s="29"/>
      <c r="F978" s="29"/>
      <c r="G978" s="28"/>
      <c r="H978" s="29"/>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8"/>
      <c r="E979" s="29"/>
      <c r="F979" s="29"/>
      <c r="G979" s="28"/>
      <c r="H979" s="29"/>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8"/>
      <c r="E980" s="29"/>
      <c r="F980" s="29"/>
      <c r="G980" s="28"/>
      <c r="H980" s="29"/>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8"/>
      <c r="E981" s="29"/>
      <c r="F981" s="29"/>
      <c r="G981" s="28"/>
      <c r="H981" s="29"/>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8"/>
      <c r="E982" s="29"/>
      <c r="F982" s="29"/>
      <c r="G982" s="28"/>
      <c r="H982" s="29"/>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8"/>
      <c r="E983" s="29"/>
      <c r="F983" s="29"/>
      <c r="G983" s="28"/>
      <c r="H983" s="29"/>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8"/>
      <c r="E984" s="29"/>
      <c r="F984" s="29"/>
      <c r="G984" s="28"/>
      <c r="H984" s="29"/>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8"/>
      <c r="E985" s="29"/>
      <c r="F985" s="29"/>
      <c r="G985" s="28"/>
      <c r="H985" s="29"/>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8"/>
      <c r="E986" s="29"/>
      <c r="F986" s="29"/>
      <c r="G986" s="28"/>
      <c r="H986" s="29"/>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8"/>
      <c r="E987" s="29"/>
      <c r="F987" s="29"/>
      <c r="G987" s="28"/>
      <c r="H987" s="29"/>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8"/>
      <c r="E988" s="29"/>
      <c r="F988" s="29"/>
      <c r="G988" s="28"/>
      <c r="H988" s="29"/>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8"/>
      <c r="E989" s="29"/>
      <c r="F989" s="29"/>
      <c r="G989" s="28"/>
      <c r="H989" s="29"/>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8"/>
      <c r="E990" s="29"/>
      <c r="F990" s="29"/>
      <c r="G990" s="28"/>
      <c r="H990" s="29"/>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8"/>
      <c r="E991" s="29"/>
      <c r="F991" s="29"/>
      <c r="G991" s="28"/>
      <c r="H991" s="29"/>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8"/>
      <c r="E992" s="29"/>
      <c r="F992" s="29"/>
      <c r="G992" s="28"/>
      <c r="H992" s="29"/>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8"/>
      <c r="E993" s="29"/>
      <c r="F993" s="29"/>
      <c r="G993" s="28"/>
      <c r="H993" s="29"/>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8"/>
      <c r="E994" s="29"/>
      <c r="F994" s="29"/>
      <c r="G994" s="28"/>
      <c r="H994" s="29"/>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8"/>
      <c r="E995" s="29"/>
      <c r="F995" s="29"/>
      <c r="G995" s="28"/>
      <c r="H995" s="29"/>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8"/>
      <c r="E996" s="29"/>
      <c r="F996" s="29"/>
      <c r="G996" s="28"/>
      <c r="H996" s="29"/>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8"/>
      <c r="E997" s="29"/>
      <c r="F997" s="29"/>
      <c r="G997" s="28"/>
      <c r="H997" s="29"/>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8"/>
      <c r="E998" s="29"/>
      <c r="F998" s="29"/>
      <c r="G998" s="28"/>
      <c r="H998" s="29"/>
      <c r="I998" s="2"/>
      <c r="J998" s="2"/>
      <c r="K998" s="2"/>
      <c r="L998" s="2"/>
      <c r="M998" s="2"/>
      <c r="N998" s="2"/>
      <c r="O998" s="2"/>
      <c r="P998" s="2"/>
      <c r="Q998" s="2"/>
      <c r="R998" s="2"/>
      <c r="S998" s="2"/>
      <c r="T998" s="2"/>
      <c r="U998" s="2"/>
      <c r="V998" s="2"/>
      <c r="W998" s="2"/>
      <c r="X998" s="2"/>
      <c r="Y998" s="2"/>
      <c r="Z998" s="2"/>
    </row>
    <row r="999" spans="1:26" ht="12.75" customHeight="1">
      <c r="A999" s="2"/>
      <c r="B999" s="2"/>
      <c r="C999" s="2"/>
      <c r="D999" s="28"/>
      <c r="E999" s="29"/>
      <c r="F999" s="29"/>
      <c r="G999" s="28"/>
      <c r="H999" s="29"/>
      <c r="I999" s="2"/>
      <c r="J999" s="2"/>
      <c r="K999" s="2"/>
      <c r="L999" s="2"/>
      <c r="M999" s="2"/>
      <c r="N999" s="2"/>
      <c r="O999" s="2"/>
      <c r="P999" s="2"/>
      <c r="Q999" s="2"/>
      <c r="R999" s="2"/>
      <c r="S999" s="2"/>
      <c r="T999" s="2"/>
      <c r="U999" s="2"/>
      <c r="V999" s="2"/>
      <c r="W999" s="2"/>
      <c r="X999" s="2"/>
      <c r="Y999" s="2"/>
      <c r="Z999" s="2"/>
    </row>
    <row r="1000" spans="1:26" ht="12.75" customHeight="1">
      <c r="A1000" s="2"/>
      <c r="B1000" s="2"/>
      <c r="C1000" s="2"/>
      <c r="D1000" s="28"/>
      <c r="E1000" s="29"/>
      <c r="F1000" s="29"/>
      <c r="G1000" s="28"/>
      <c r="H1000" s="29"/>
      <c r="I1000" s="2"/>
      <c r="J1000" s="2"/>
      <c r="K1000" s="2"/>
      <c r="L1000" s="2"/>
      <c r="M1000" s="2"/>
      <c r="N1000" s="2"/>
      <c r="O1000" s="2"/>
      <c r="P1000" s="2"/>
      <c r="Q1000" s="2"/>
      <c r="R1000" s="2"/>
      <c r="S1000" s="2"/>
      <c r="T1000" s="2"/>
      <c r="U1000" s="2"/>
      <c r="V1000" s="2"/>
      <c r="W1000" s="2"/>
      <c r="X1000" s="2"/>
      <c r="Y1000" s="2"/>
      <c r="Z1000" s="2"/>
    </row>
    <row r="1001" spans="1:26" ht="12.75" customHeight="1">
      <c r="A1001" s="2"/>
      <c r="B1001" s="2"/>
      <c r="C1001" s="2"/>
      <c r="D1001" s="28"/>
      <c r="E1001" s="29"/>
      <c r="F1001" s="29"/>
      <c r="G1001" s="28"/>
      <c r="H1001" s="29"/>
      <c r="I1001" s="2"/>
      <c r="J1001" s="2"/>
      <c r="K1001" s="2"/>
      <c r="L1001" s="2"/>
      <c r="M1001" s="2"/>
      <c r="N1001" s="2"/>
      <c r="O1001" s="2"/>
      <c r="P1001" s="2"/>
      <c r="Q1001" s="2"/>
      <c r="R1001" s="2"/>
      <c r="S1001" s="2"/>
      <c r="T1001" s="2"/>
      <c r="U1001" s="2"/>
      <c r="V1001" s="2"/>
      <c r="W1001" s="2"/>
      <c r="X1001" s="2"/>
      <c r="Y1001" s="2"/>
      <c r="Z1001" s="2"/>
    </row>
    <row r="1002" spans="1:26" ht="12.75" customHeight="1">
      <c r="A1002" s="2"/>
      <c r="B1002" s="2"/>
      <c r="C1002" s="2"/>
      <c r="D1002" s="28"/>
      <c r="E1002" s="29"/>
      <c r="F1002" s="29"/>
      <c r="G1002" s="28"/>
      <c r="H1002" s="29"/>
      <c r="I1002" s="2"/>
      <c r="J1002" s="2"/>
      <c r="K1002" s="2"/>
      <c r="L1002" s="2"/>
      <c r="M1002" s="2"/>
      <c r="N1002" s="2"/>
      <c r="O1002" s="2"/>
      <c r="P1002" s="2"/>
      <c r="Q1002" s="2"/>
      <c r="R1002" s="2"/>
      <c r="S1002" s="2"/>
      <c r="T1002" s="2"/>
      <c r="U1002" s="2"/>
      <c r="V1002" s="2"/>
      <c r="W1002" s="2"/>
      <c r="X1002" s="2"/>
      <c r="Y1002" s="2"/>
      <c r="Z1002" s="2"/>
    </row>
    <row r="1003" spans="1:26" ht="12.75" customHeight="1">
      <c r="A1003" s="2"/>
      <c r="B1003" s="2"/>
      <c r="C1003" s="2"/>
      <c r="D1003" s="28"/>
      <c r="E1003" s="29"/>
      <c r="F1003" s="29"/>
      <c r="G1003" s="28"/>
      <c r="H1003" s="29"/>
      <c r="I1003" s="2"/>
      <c r="J1003" s="2"/>
      <c r="K1003" s="2"/>
      <c r="L1003" s="2"/>
      <c r="M1003" s="2"/>
      <c r="N1003" s="2"/>
      <c r="O1003" s="2"/>
      <c r="P1003" s="2"/>
      <c r="Q1003" s="2"/>
      <c r="R1003" s="2"/>
      <c r="S1003" s="2"/>
      <c r="T1003" s="2"/>
      <c r="U1003" s="2"/>
      <c r="V1003" s="2"/>
      <c r="W1003" s="2"/>
      <c r="X1003" s="2"/>
      <c r="Y1003" s="2"/>
      <c r="Z1003" s="2"/>
    </row>
    <row r="1004" spans="1:26" ht="12.75" customHeight="1">
      <c r="A1004" s="2"/>
      <c r="B1004" s="2"/>
      <c r="C1004" s="2"/>
      <c r="D1004" s="28"/>
      <c r="E1004" s="29"/>
      <c r="F1004" s="29"/>
      <c r="G1004" s="28"/>
      <c r="H1004" s="29"/>
      <c r="I1004" s="2"/>
      <c r="J1004" s="2"/>
      <c r="K1004" s="2"/>
      <c r="L1004" s="2"/>
      <c r="M1004" s="2"/>
      <c r="N1004" s="2"/>
      <c r="O1004" s="2"/>
      <c r="P1004" s="2"/>
      <c r="Q1004" s="2"/>
      <c r="R1004" s="2"/>
      <c r="S1004" s="2"/>
      <c r="T1004" s="2"/>
      <c r="U1004" s="2"/>
      <c r="V1004" s="2"/>
      <c r="W1004" s="2"/>
      <c r="X1004" s="2"/>
      <c r="Y1004" s="2"/>
      <c r="Z1004" s="2"/>
    </row>
    <row r="1005" spans="1:26" ht="12.75" customHeight="1">
      <c r="A1005" s="2"/>
      <c r="B1005" s="2"/>
      <c r="C1005" s="2"/>
      <c r="D1005" s="28"/>
      <c r="E1005" s="29"/>
      <c r="F1005" s="29"/>
      <c r="G1005" s="28"/>
      <c r="H1005" s="29"/>
      <c r="I1005" s="2"/>
      <c r="J1005" s="2"/>
      <c r="K1005" s="2"/>
      <c r="L1005" s="2"/>
      <c r="M1005" s="2"/>
      <c r="N1005" s="2"/>
      <c r="O1005" s="2"/>
      <c r="P1005" s="2"/>
      <c r="Q1005" s="2"/>
      <c r="R1005" s="2"/>
      <c r="S1005" s="2"/>
      <c r="T1005" s="2"/>
      <c r="U1005" s="2"/>
      <c r="V1005" s="2"/>
      <c r="W1005" s="2"/>
      <c r="X1005" s="2"/>
      <c r="Y1005" s="2"/>
      <c r="Z1005" s="2"/>
    </row>
    <row r="1006" spans="1:26" ht="12.75" customHeight="1">
      <c r="A1006" s="2"/>
      <c r="B1006" s="2"/>
      <c r="C1006" s="2"/>
      <c r="D1006" s="28"/>
      <c r="E1006" s="29"/>
      <c r="F1006" s="29"/>
      <c r="G1006" s="28"/>
      <c r="H1006" s="29"/>
      <c r="I1006" s="2"/>
      <c r="J1006" s="2"/>
      <c r="K1006" s="2"/>
      <c r="L1006" s="2"/>
      <c r="M1006" s="2"/>
      <c r="N1006" s="2"/>
      <c r="O1006" s="2"/>
      <c r="P1006" s="2"/>
      <c r="Q1006" s="2"/>
      <c r="R1006" s="2"/>
      <c r="S1006" s="2"/>
      <c r="T1006" s="2"/>
      <c r="U1006" s="2"/>
      <c r="V1006" s="2"/>
      <c r="W1006" s="2"/>
      <c r="X1006" s="2"/>
      <c r="Y1006" s="2"/>
      <c r="Z1006" s="2"/>
    </row>
    <row r="1007" spans="1:26" ht="12.75" customHeight="1">
      <c r="A1007" s="2"/>
      <c r="B1007" s="2"/>
      <c r="C1007" s="2"/>
      <c r="D1007" s="28"/>
      <c r="E1007" s="29"/>
      <c r="F1007" s="29"/>
      <c r="G1007" s="28"/>
      <c r="H1007" s="29"/>
      <c r="I1007" s="2"/>
      <c r="J1007" s="2"/>
      <c r="K1007" s="2"/>
      <c r="L1007" s="2"/>
      <c r="M1007" s="2"/>
      <c r="N1007" s="2"/>
      <c r="O1007" s="2"/>
      <c r="P1007" s="2"/>
      <c r="Q1007" s="2"/>
      <c r="R1007" s="2"/>
      <c r="S1007" s="2"/>
      <c r="T1007" s="2"/>
      <c r="U1007" s="2"/>
      <c r="V1007" s="2"/>
      <c r="W1007" s="2"/>
      <c r="X1007" s="2"/>
      <c r="Y1007" s="2"/>
      <c r="Z1007" s="2"/>
    </row>
    <row r="1008" spans="1:26" ht="12.75" customHeight="1">
      <c r="A1008" s="2"/>
      <c r="B1008" s="2"/>
      <c r="C1008" s="2"/>
      <c r="D1008" s="28"/>
      <c r="E1008" s="29"/>
      <c r="F1008" s="29"/>
      <c r="G1008" s="28"/>
      <c r="H1008" s="29"/>
      <c r="I1008" s="2"/>
      <c r="J1008" s="2"/>
      <c r="K1008" s="2"/>
      <c r="L1008" s="2"/>
      <c r="M1008" s="2"/>
      <c r="N1008" s="2"/>
      <c r="O1008" s="2"/>
      <c r="P1008" s="2"/>
      <c r="Q1008" s="2"/>
      <c r="R1008" s="2"/>
      <c r="S1008" s="2"/>
      <c r="T1008" s="2"/>
      <c r="U1008" s="2"/>
      <c r="V1008" s="2"/>
      <c r="W1008" s="2"/>
      <c r="X1008" s="2"/>
      <c r="Y1008" s="2"/>
      <c r="Z1008" s="2"/>
    </row>
    <row r="1009" spans="1:26" ht="12.75" customHeight="1">
      <c r="A1009" s="2"/>
      <c r="B1009" s="2"/>
      <c r="C1009" s="2"/>
      <c r="D1009" s="28"/>
      <c r="E1009" s="29"/>
      <c r="F1009" s="29"/>
      <c r="G1009" s="28"/>
      <c r="H1009" s="29"/>
      <c r="I1009" s="2"/>
      <c r="J1009" s="2"/>
      <c r="K1009" s="2"/>
      <c r="L1009" s="2"/>
      <c r="M1009" s="2"/>
      <c r="N1009" s="2"/>
      <c r="O1009" s="2"/>
      <c r="P1009" s="2"/>
      <c r="Q1009" s="2"/>
      <c r="R1009" s="2"/>
      <c r="S1009" s="2"/>
      <c r="T1009" s="2"/>
      <c r="U1009" s="2"/>
      <c r="V1009" s="2"/>
      <c r="W1009" s="2"/>
      <c r="X1009" s="2"/>
      <c r="Y1009" s="2"/>
      <c r="Z1009" s="2"/>
    </row>
    <row r="1010" spans="1:26" ht="12.75" customHeight="1">
      <c r="A1010" s="2"/>
      <c r="B1010" s="2"/>
      <c r="C1010" s="2"/>
      <c r="D1010" s="28"/>
      <c r="E1010" s="29"/>
      <c r="F1010" s="29"/>
      <c r="G1010" s="28"/>
      <c r="H1010" s="29"/>
      <c r="I1010" s="2"/>
      <c r="J1010" s="2"/>
      <c r="K1010" s="2"/>
      <c r="L1010" s="2"/>
      <c r="M1010" s="2"/>
      <c r="N1010" s="2"/>
      <c r="O1010" s="2"/>
      <c r="P1010" s="2"/>
      <c r="Q1010" s="2"/>
      <c r="R1010" s="2"/>
      <c r="S1010" s="2"/>
      <c r="T1010" s="2"/>
      <c r="U1010" s="2"/>
      <c r="V1010" s="2"/>
      <c r="W1010" s="2"/>
      <c r="X1010" s="2"/>
      <c r="Y1010" s="2"/>
      <c r="Z1010" s="2"/>
    </row>
    <row r="1011" spans="1:26" ht="12.75" customHeight="1">
      <c r="A1011" s="2"/>
      <c r="B1011" s="2"/>
      <c r="C1011" s="2"/>
      <c r="D1011" s="28"/>
      <c r="E1011" s="29"/>
      <c r="F1011" s="29"/>
      <c r="G1011" s="28"/>
      <c r="H1011" s="29"/>
      <c r="I1011" s="2"/>
      <c r="J1011" s="2"/>
      <c r="K1011" s="2"/>
      <c r="L1011" s="2"/>
      <c r="M1011" s="2"/>
      <c r="N1011" s="2"/>
      <c r="O1011" s="2"/>
      <c r="P1011" s="2"/>
      <c r="Q1011" s="2"/>
      <c r="R1011" s="2"/>
      <c r="S1011" s="2"/>
      <c r="T1011" s="2"/>
      <c r="U1011" s="2"/>
      <c r="V1011" s="2"/>
      <c r="W1011" s="2"/>
      <c r="X1011" s="2"/>
      <c r="Y1011" s="2"/>
      <c r="Z1011" s="2"/>
    </row>
    <row r="1012" spans="1:26" ht="12.75" customHeight="1">
      <c r="A1012" s="2"/>
      <c r="B1012" s="2"/>
      <c r="C1012" s="2"/>
      <c r="D1012" s="28"/>
      <c r="E1012" s="29"/>
      <c r="F1012" s="29"/>
      <c r="G1012" s="28"/>
      <c r="H1012" s="29"/>
      <c r="I1012" s="2"/>
      <c r="J1012" s="2"/>
      <c r="K1012" s="2"/>
      <c r="L1012" s="2"/>
      <c r="M1012" s="2"/>
      <c r="N1012" s="2"/>
      <c r="O1012" s="2"/>
      <c r="P1012" s="2"/>
      <c r="Q1012" s="2"/>
      <c r="R1012" s="2"/>
      <c r="S1012" s="2"/>
      <c r="T1012" s="2"/>
      <c r="U1012" s="2"/>
      <c r="V1012" s="2"/>
      <c r="W1012" s="2"/>
      <c r="X1012" s="2"/>
      <c r="Y1012" s="2"/>
      <c r="Z1012" s="2"/>
    </row>
    <row r="1013" spans="1:26" ht="12.75" customHeight="1">
      <c r="A1013" s="2"/>
      <c r="B1013" s="2"/>
      <c r="C1013" s="2"/>
      <c r="D1013" s="28"/>
      <c r="E1013" s="29"/>
      <c r="F1013" s="29"/>
      <c r="G1013" s="28"/>
      <c r="H1013" s="29"/>
      <c r="I1013" s="2"/>
      <c r="J1013" s="2"/>
      <c r="K1013" s="2"/>
      <c r="L1013" s="2"/>
      <c r="M1013" s="2"/>
      <c r="N1013" s="2"/>
      <c r="O1013" s="2"/>
      <c r="P1013" s="2"/>
      <c r="Q1013" s="2"/>
      <c r="R1013" s="2"/>
      <c r="S1013" s="2"/>
      <c r="T1013" s="2"/>
      <c r="U1013" s="2"/>
      <c r="V1013" s="2"/>
      <c r="W1013" s="2"/>
      <c r="X1013" s="2"/>
      <c r="Y1013" s="2"/>
      <c r="Z1013" s="2"/>
    </row>
  </sheetData>
  <mergeCells count="6">
    <mergeCell ref="B1:K1"/>
    <mergeCell ref="B2:K2"/>
    <mergeCell ref="B3:K3"/>
    <mergeCell ref="B4:K4"/>
    <mergeCell ref="A44:G44"/>
    <mergeCell ref="I44:K44"/>
  </mergeCells>
  <hyperlinks>
    <hyperlink ref="C6" r:id="rId1" xr:uid="{00000000-0004-0000-0000-000000000000}"/>
    <hyperlink ref="C7" r:id="rId2" xr:uid="{00000000-0004-0000-0000-000001000000}"/>
    <hyperlink ref="C8" r:id="rId3" xr:uid="{00000000-0004-0000-0000-000002000000}"/>
    <hyperlink ref="C10" r:id="rId4" location="3d-model-and-stl-download-files" xr:uid="{00000000-0004-0000-0000-000003000000}"/>
    <hyperlink ref="C11" r:id="rId5" xr:uid="{00000000-0004-0000-0000-000004000000}"/>
    <hyperlink ref="C12" r:id="rId6" xr:uid="{00000000-0004-0000-0000-000005000000}"/>
    <hyperlink ref="C13" r:id="rId7" xr:uid="{00000000-0004-0000-0000-000006000000}"/>
    <hyperlink ref="C14" r:id="rId8" xr:uid="{00000000-0004-0000-0000-000007000000}"/>
    <hyperlink ref="C15" r:id="rId9" xr:uid="{00000000-0004-0000-0000-000008000000}"/>
    <hyperlink ref="C16" r:id="rId10" xr:uid="{00000000-0004-0000-0000-000009000000}"/>
    <hyperlink ref="C18" r:id="rId11" xr:uid="{00000000-0004-0000-0000-00000A000000}"/>
    <hyperlink ref="C19" r:id="rId12" xr:uid="{00000000-0004-0000-0000-00000B000000}"/>
    <hyperlink ref="C20" r:id="rId13" xr:uid="{00000000-0004-0000-0000-00000C000000}"/>
    <hyperlink ref="C21" r:id="rId14" xr:uid="{00000000-0004-0000-0000-00000D000000}"/>
    <hyperlink ref="C22" r:id="rId15" xr:uid="{00000000-0004-0000-0000-00000E000000}"/>
    <hyperlink ref="C23" r:id="rId16" xr:uid="{00000000-0004-0000-0000-00000F000000}"/>
    <hyperlink ref="C24" r:id="rId17" xr:uid="{00000000-0004-0000-0000-000010000000}"/>
    <hyperlink ref="C25" r:id="rId18" xr:uid="{00000000-0004-0000-0000-000011000000}"/>
    <hyperlink ref="C26" r:id="rId19" xr:uid="{00000000-0004-0000-0000-000012000000}"/>
    <hyperlink ref="C27" r:id="rId20" xr:uid="{00000000-0004-0000-0000-000013000000}"/>
    <hyperlink ref="C28" r:id="rId21" xr:uid="{00000000-0004-0000-0000-000014000000}"/>
    <hyperlink ref="C29" r:id="rId22" xr:uid="{00000000-0004-0000-0000-000015000000}"/>
    <hyperlink ref="C30" r:id="rId23" xr:uid="{00000000-0004-0000-0000-000016000000}"/>
    <hyperlink ref="C31" r:id="rId24" xr:uid="{00000000-0004-0000-0000-000017000000}"/>
    <hyperlink ref="C32" r:id="rId25" xr:uid="{00000000-0004-0000-0000-000018000000}"/>
    <hyperlink ref="C33" r:id="rId26" xr:uid="{00000000-0004-0000-0000-000019000000}"/>
    <hyperlink ref="C34" r:id="rId27" xr:uid="{00000000-0004-0000-0000-00001A000000}"/>
    <hyperlink ref="C35" r:id="rId28" xr:uid="{00000000-0004-0000-0000-00001B000000}"/>
    <hyperlink ref="C36" r:id="rId29" xr:uid="{00000000-0004-0000-0000-00001C000000}"/>
    <hyperlink ref="C37" r:id="rId30" xr:uid="{00000000-0004-0000-0000-00001D000000}"/>
    <hyperlink ref="C38" r:id="rId31" xr:uid="{00000000-0004-0000-0000-00001E000000}"/>
    <hyperlink ref="C39" r:id="rId32" xr:uid="{00000000-0004-0000-0000-00001F000000}"/>
    <hyperlink ref="C40" r:id="rId33" xr:uid="{00000000-0004-0000-0000-000020000000}"/>
    <hyperlink ref="C41" r:id="rId34" xr:uid="{00000000-0004-0000-0000-000021000000}"/>
    <hyperlink ref="C42" r:id="rId35" xr:uid="{00000000-0004-0000-0000-000022000000}"/>
    <hyperlink ref="C43" r:id="rId36" xr:uid="{00000000-0004-0000-0000-000023000000}"/>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BOM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 Myre</dc:creator>
  <cp:lastModifiedBy>Logan Leslie</cp:lastModifiedBy>
  <dcterms:created xsi:type="dcterms:W3CDTF">2011-04-05T19:16:08Z</dcterms:created>
  <dcterms:modified xsi:type="dcterms:W3CDTF">2026-01-04T14:22:58Z</dcterms:modified>
</cp:coreProperties>
</file>